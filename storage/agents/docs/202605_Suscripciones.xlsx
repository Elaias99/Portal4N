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13_ncr:1_{EA42DD21-A7D3-492B-BA19-435B6F7D646A}" xr6:coauthVersionLast="47" xr6:coauthVersionMax="47" xr10:uidLastSave="{00000000-0000-0000-0000-000000000000}"/>
  <bookViews>
    <workbookView xWindow="-120" yWindow="-120" windowWidth="29040" windowHeight="15720" xr2:uid="{37BEE3BF-CC67-42DA-BFD1-5DD5598AEFC8}"/>
  </bookViews>
  <sheets>
    <sheet name="Detalle_repartos" sheetId="1" r:id="rId1"/>
    <sheet name="Resumen" sheetId="2" r:id="rId2"/>
    <sheet name="RespaldoOPV" sheetId="3" r:id="rId3"/>
    <sheet name="RespaldoLOTA" sheetId="5" r:id="rId4"/>
    <sheet name="RespaldoNovedades" sheetId="4" r:id="rId5"/>
  </sheets>
  <externalReferences>
    <externalReference r:id="rId6"/>
    <externalReference r:id="rId7"/>
  </externalReferences>
  <definedNames>
    <definedName name="_xlnm._FilterDatabase" localSheetId="0" hidden="1">Detalle_repartos!$A$1:$AJ$172</definedName>
    <definedName name="Bancos">[1]Hoja2!$I$2:$I$19</definedName>
    <definedName name="serv">'[1]Detalle de Pagos'!$B$7</definedName>
    <definedName name="Tipo_cuenta">[1]Hoja2!$K$2:$K$4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1" i="1" l="1"/>
  <c r="Q161" i="1"/>
  <c r="S161" i="1" s="1"/>
  <c r="L161" i="1"/>
  <c r="M161" i="1" s="1"/>
  <c r="T161" i="1" s="1"/>
  <c r="B11" i="5"/>
  <c r="B13" i="5" s="1"/>
  <c r="V161" i="1" l="1"/>
  <c r="W161" i="1" s="1"/>
  <c r="AI161" i="1" s="1"/>
  <c r="R161" i="1"/>
  <c r="L8" i="3"/>
  <c r="K8" i="3"/>
  <c r="J8" i="3"/>
  <c r="I8" i="3"/>
  <c r="H8" i="3"/>
  <c r="G8" i="3"/>
  <c r="F8" i="3"/>
  <c r="E8" i="3"/>
  <c r="D8" i="3"/>
  <c r="C8" i="3"/>
  <c r="M7" i="3"/>
  <c r="M6" i="3"/>
  <c r="M5" i="3"/>
  <c r="M4" i="3"/>
  <c r="M3" i="3"/>
  <c r="E2" i="3"/>
  <c r="G2" i="3" s="1"/>
  <c r="I2" i="3" s="1"/>
  <c r="K2" i="3" s="1"/>
  <c r="D2" i="3"/>
  <c r="F2" i="3" s="1"/>
  <c r="H2" i="3" s="1"/>
  <c r="J2" i="3" s="1"/>
  <c r="L2" i="3" s="1"/>
  <c r="U172" i="1" l="1"/>
  <c r="Q172" i="1"/>
  <c r="R172" i="1" s="1"/>
  <c r="L172" i="1"/>
  <c r="M172" i="1" s="1"/>
  <c r="T172" i="1" s="1"/>
  <c r="U171" i="1"/>
  <c r="Q171" i="1"/>
  <c r="R171" i="1" s="1"/>
  <c r="L171" i="1"/>
  <c r="M171" i="1" s="1"/>
  <c r="T171" i="1" s="1"/>
  <c r="U170" i="1"/>
  <c r="Q170" i="1"/>
  <c r="L170" i="1"/>
  <c r="M170" i="1" s="1"/>
  <c r="T170" i="1" s="1"/>
  <c r="U169" i="1"/>
  <c r="Q169" i="1"/>
  <c r="S169" i="1" s="1"/>
  <c r="L169" i="1"/>
  <c r="M169" i="1" s="1"/>
  <c r="T169" i="1" s="1"/>
  <c r="U168" i="1"/>
  <c r="Q168" i="1"/>
  <c r="R168" i="1" s="1"/>
  <c r="L168" i="1"/>
  <c r="M168" i="1" s="1"/>
  <c r="T168" i="1" s="1"/>
  <c r="U167" i="1"/>
  <c r="Q167" i="1"/>
  <c r="L167" i="1"/>
  <c r="M167" i="1" s="1"/>
  <c r="T167" i="1" s="1"/>
  <c r="U166" i="1"/>
  <c r="Q166" i="1"/>
  <c r="R166" i="1" s="1"/>
  <c r="L166" i="1"/>
  <c r="M166" i="1" s="1"/>
  <c r="T166" i="1" s="1"/>
  <c r="U165" i="1"/>
  <c r="Q165" i="1"/>
  <c r="R165" i="1" s="1"/>
  <c r="L165" i="1"/>
  <c r="M165" i="1" s="1"/>
  <c r="T165" i="1" s="1"/>
  <c r="U164" i="1"/>
  <c r="Q164" i="1"/>
  <c r="S164" i="1" s="1"/>
  <c r="L164" i="1"/>
  <c r="M164" i="1" s="1"/>
  <c r="T164" i="1" s="1"/>
  <c r="U163" i="1"/>
  <c r="Q163" i="1"/>
  <c r="R163" i="1" s="1"/>
  <c r="L163" i="1"/>
  <c r="M163" i="1" s="1"/>
  <c r="T163" i="1" s="1"/>
  <c r="U162" i="1"/>
  <c r="Q162" i="1"/>
  <c r="L162" i="1"/>
  <c r="M162" i="1" s="1"/>
  <c r="T162" i="1" s="1"/>
  <c r="U160" i="1"/>
  <c r="Q160" i="1"/>
  <c r="S160" i="1" s="1"/>
  <c r="L160" i="1"/>
  <c r="M160" i="1" s="1"/>
  <c r="T160" i="1" s="1"/>
  <c r="U159" i="1"/>
  <c r="Q159" i="1"/>
  <c r="S159" i="1" s="1"/>
  <c r="L159" i="1"/>
  <c r="M159" i="1" s="1"/>
  <c r="T159" i="1" s="1"/>
  <c r="U158" i="1"/>
  <c r="Q158" i="1"/>
  <c r="S158" i="1" s="1"/>
  <c r="L158" i="1"/>
  <c r="M158" i="1" s="1"/>
  <c r="T158" i="1" s="1"/>
  <c r="U157" i="1"/>
  <c r="Q157" i="1"/>
  <c r="S157" i="1" s="1"/>
  <c r="L157" i="1"/>
  <c r="M157" i="1" s="1"/>
  <c r="T157" i="1" s="1"/>
  <c r="U156" i="1"/>
  <c r="Q156" i="1"/>
  <c r="R156" i="1" s="1"/>
  <c r="L156" i="1"/>
  <c r="M156" i="1" s="1"/>
  <c r="T156" i="1" s="1"/>
  <c r="U155" i="1"/>
  <c r="Q155" i="1"/>
  <c r="R155" i="1" s="1"/>
  <c r="L155" i="1"/>
  <c r="M155" i="1" s="1"/>
  <c r="T155" i="1" s="1"/>
  <c r="U154" i="1"/>
  <c r="Q154" i="1"/>
  <c r="L154" i="1"/>
  <c r="M154" i="1" s="1"/>
  <c r="T154" i="1" s="1"/>
  <c r="U153" i="1"/>
  <c r="Q153" i="1"/>
  <c r="S153" i="1" s="1"/>
  <c r="L153" i="1"/>
  <c r="M153" i="1" s="1"/>
  <c r="T153" i="1" s="1"/>
  <c r="U152" i="1"/>
  <c r="Q152" i="1"/>
  <c r="R152" i="1" s="1"/>
  <c r="L152" i="1"/>
  <c r="M152" i="1" s="1"/>
  <c r="T152" i="1" s="1"/>
  <c r="U151" i="1"/>
  <c r="Q151" i="1"/>
  <c r="L151" i="1"/>
  <c r="M151" i="1" s="1"/>
  <c r="T151" i="1" s="1"/>
  <c r="U150" i="1"/>
  <c r="Q150" i="1"/>
  <c r="R150" i="1" s="1"/>
  <c r="L150" i="1"/>
  <c r="M150" i="1" s="1"/>
  <c r="T150" i="1" s="1"/>
  <c r="U149" i="1"/>
  <c r="Q149" i="1"/>
  <c r="L149" i="1"/>
  <c r="M149" i="1" s="1"/>
  <c r="T149" i="1" s="1"/>
  <c r="U148" i="1"/>
  <c r="Q148" i="1"/>
  <c r="R148" i="1" s="1"/>
  <c r="L148" i="1"/>
  <c r="M148" i="1" s="1"/>
  <c r="T148" i="1" s="1"/>
  <c r="U147" i="1"/>
  <c r="Q147" i="1"/>
  <c r="R147" i="1" s="1"/>
  <c r="L147" i="1"/>
  <c r="M147" i="1" s="1"/>
  <c r="T147" i="1" s="1"/>
  <c r="U146" i="1"/>
  <c r="Q146" i="1"/>
  <c r="L146" i="1"/>
  <c r="M146" i="1" s="1"/>
  <c r="T146" i="1" s="1"/>
  <c r="U145" i="1"/>
  <c r="Q145" i="1"/>
  <c r="R145" i="1" s="1"/>
  <c r="L145" i="1"/>
  <c r="M145" i="1" s="1"/>
  <c r="T145" i="1" s="1"/>
  <c r="U144" i="1"/>
  <c r="Q144" i="1"/>
  <c r="S144" i="1" s="1"/>
  <c r="L144" i="1"/>
  <c r="M144" i="1" s="1"/>
  <c r="T144" i="1" s="1"/>
  <c r="U143" i="1"/>
  <c r="Q143" i="1"/>
  <c r="L143" i="1"/>
  <c r="M143" i="1" s="1"/>
  <c r="T143" i="1" s="1"/>
  <c r="U142" i="1"/>
  <c r="Q142" i="1"/>
  <c r="S142" i="1" s="1"/>
  <c r="L142" i="1"/>
  <c r="M142" i="1" s="1"/>
  <c r="T142" i="1" s="1"/>
  <c r="U141" i="1"/>
  <c r="Q141" i="1"/>
  <c r="L141" i="1"/>
  <c r="M141" i="1" s="1"/>
  <c r="T141" i="1" s="1"/>
  <c r="U140" i="1"/>
  <c r="Q140" i="1"/>
  <c r="L140" i="1"/>
  <c r="M140" i="1" s="1"/>
  <c r="T140" i="1" s="1"/>
  <c r="U139" i="1"/>
  <c r="Q139" i="1"/>
  <c r="S139" i="1" s="1"/>
  <c r="L139" i="1"/>
  <c r="M139" i="1" s="1"/>
  <c r="T139" i="1" s="1"/>
  <c r="U138" i="1"/>
  <c r="Q138" i="1"/>
  <c r="L138" i="1"/>
  <c r="M138" i="1" s="1"/>
  <c r="T138" i="1" s="1"/>
  <c r="U137" i="1"/>
  <c r="Q137" i="1"/>
  <c r="S137" i="1" s="1"/>
  <c r="L137" i="1"/>
  <c r="M137" i="1" s="1"/>
  <c r="T137" i="1" s="1"/>
  <c r="Q136" i="1"/>
  <c r="L136" i="1"/>
  <c r="M136" i="1" s="1"/>
  <c r="T136" i="1" s="1"/>
  <c r="Q135" i="1"/>
  <c r="S135" i="1" s="1"/>
  <c r="L135" i="1"/>
  <c r="M135" i="1" s="1"/>
  <c r="T135" i="1" s="1"/>
  <c r="V135" i="1" s="1"/>
  <c r="Q134" i="1"/>
  <c r="R134" i="1" s="1"/>
  <c r="L134" i="1"/>
  <c r="M134" i="1" s="1"/>
  <c r="T134" i="1" s="1"/>
  <c r="Q133" i="1"/>
  <c r="L133" i="1"/>
  <c r="M133" i="1" s="1"/>
  <c r="T133" i="1" s="1"/>
  <c r="V133" i="1" s="1"/>
  <c r="Q132" i="1"/>
  <c r="S132" i="1" s="1"/>
  <c r="L132" i="1"/>
  <c r="M132" i="1" s="1"/>
  <c r="T132" i="1" s="1"/>
  <c r="V132" i="1" s="1"/>
  <c r="Q131" i="1"/>
  <c r="S131" i="1" s="1"/>
  <c r="L131" i="1"/>
  <c r="M131" i="1" s="1"/>
  <c r="T131" i="1" s="1"/>
  <c r="Q130" i="1"/>
  <c r="L130" i="1"/>
  <c r="M130" i="1" s="1"/>
  <c r="T130" i="1" s="1"/>
  <c r="Q129" i="1"/>
  <c r="S129" i="1" s="1"/>
  <c r="L129" i="1"/>
  <c r="M129" i="1" s="1"/>
  <c r="T129" i="1" s="1"/>
  <c r="Q128" i="1"/>
  <c r="R128" i="1" s="1"/>
  <c r="L128" i="1"/>
  <c r="M128" i="1" s="1"/>
  <c r="T128" i="1" s="1"/>
  <c r="Q127" i="1"/>
  <c r="S127" i="1" s="1"/>
  <c r="L127" i="1"/>
  <c r="M127" i="1" s="1"/>
  <c r="T127" i="1" s="1"/>
  <c r="Q126" i="1"/>
  <c r="S126" i="1" s="1"/>
  <c r="L126" i="1"/>
  <c r="M126" i="1" s="1"/>
  <c r="T126" i="1" s="1"/>
  <c r="V126" i="1" s="1"/>
  <c r="W126" i="1" s="1"/>
  <c r="AI126" i="1" s="1"/>
  <c r="Q125" i="1"/>
  <c r="S125" i="1" s="1"/>
  <c r="L125" i="1"/>
  <c r="M125" i="1" s="1"/>
  <c r="T125" i="1" s="1"/>
  <c r="Q124" i="1"/>
  <c r="S124" i="1" s="1"/>
  <c r="L124" i="1"/>
  <c r="M124" i="1" s="1"/>
  <c r="T124" i="1" s="1"/>
  <c r="U123" i="1"/>
  <c r="Q123" i="1"/>
  <c r="R123" i="1" s="1"/>
  <c r="L123" i="1"/>
  <c r="M123" i="1" s="1"/>
  <c r="T123" i="1" s="1"/>
  <c r="Q122" i="1"/>
  <c r="S122" i="1" s="1"/>
  <c r="L122" i="1"/>
  <c r="M122" i="1" s="1"/>
  <c r="T122" i="1" s="1"/>
  <c r="Q121" i="1"/>
  <c r="R121" i="1" s="1"/>
  <c r="L121" i="1"/>
  <c r="M121" i="1" s="1"/>
  <c r="T121" i="1" s="1"/>
  <c r="Q120" i="1"/>
  <c r="R120" i="1" s="1"/>
  <c r="L120" i="1"/>
  <c r="M120" i="1" s="1"/>
  <c r="T120" i="1" s="1"/>
  <c r="U119" i="1"/>
  <c r="Q119" i="1"/>
  <c r="R119" i="1" s="1"/>
  <c r="L119" i="1"/>
  <c r="M119" i="1" s="1"/>
  <c r="T119" i="1" s="1"/>
  <c r="U118" i="1"/>
  <c r="Q118" i="1"/>
  <c r="S118" i="1" s="1"/>
  <c r="L118" i="1"/>
  <c r="M118" i="1" s="1"/>
  <c r="T118" i="1" s="1"/>
  <c r="U117" i="1"/>
  <c r="Q117" i="1"/>
  <c r="R117" i="1" s="1"/>
  <c r="L117" i="1"/>
  <c r="M117" i="1" s="1"/>
  <c r="T117" i="1" s="1"/>
  <c r="Q116" i="1"/>
  <c r="S116" i="1" s="1"/>
  <c r="L116" i="1"/>
  <c r="M116" i="1" s="1"/>
  <c r="T116" i="1" s="1"/>
  <c r="Q115" i="1"/>
  <c r="R115" i="1" s="1"/>
  <c r="L115" i="1"/>
  <c r="M115" i="1" s="1"/>
  <c r="T115" i="1" s="1"/>
  <c r="Q114" i="1"/>
  <c r="R114" i="1" s="1"/>
  <c r="L114" i="1"/>
  <c r="M114" i="1" s="1"/>
  <c r="T114" i="1" s="1"/>
  <c r="V114" i="1" s="1"/>
  <c r="U113" i="1"/>
  <c r="Q113" i="1"/>
  <c r="S113" i="1" s="1"/>
  <c r="L113" i="1"/>
  <c r="M113" i="1" s="1"/>
  <c r="T113" i="1" s="1"/>
  <c r="U112" i="1"/>
  <c r="Q112" i="1"/>
  <c r="R112" i="1" s="1"/>
  <c r="L112" i="1"/>
  <c r="M112" i="1" s="1"/>
  <c r="T112" i="1" s="1"/>
  <c r="U111" i="1"/>
  <c r="Q111" i="1"/>
  <c r="S111" i="1" s="1"/>
  <c r="L111" i="1"/>
  <c r="M111" i="1" s="1"/>
  <c r="T111" i="1" s="1"/>
  <c r="U110" i="1"/>
  <c r="Q110" i="1"/>
  <c r="L110" i="1"/>
  <c r="M110" i="1" s="1"/>
  <c r="T110" i="1" s="1"/>
  <c r="Q109" i="1"/>
  <c r="S109" i="1" s="1"/>
  <c r="L109" i="1"/>
  <c r="M109" i="1" s="1"/>
  <c r="T109" i="1" s="1"/>
  <c r="Q108" i="1"/>
  <c r="L108" i="1"/>
  <c r="M108" i="1" s="1"/>
  <c r="T108" i="1" s="1"/>
  <c r="V108" i="1" s="1"/>
  <c r="U107" i="1"/>
  <c r="Q107" i="1"/>
  <c r="R107" i="1" s="1"/>
  <c r="L107" i="1"/>
  <c r="M107" i="1" s="1"/>
  <c r="T107" i="1" s="1"/>
  <c r="U106" i="1"/>
  <c r="Q106" i="1"/>
  <c r="R106" i="1" s="1"/>
  <c r="L106" i="1"/>
  <c r="M106" i="1" s="1"/>
  <c r="T106" i="1" s="1"/>
  <c r="Q105" i="1"/>
  <c r="S105" i="1" s="1"/>
  <c r="L105" i="1"/>
  <c r="M105" i="1" s="1"/>
  <c r="T105" i="1" s="1"/>
  <c r="U104" i="1"/>
  <c r="Q104" i="1"/>
  <c r="S104" i="1" s="1"/>
  <c r="L104" i="1"/>
  <c r="M104" i="1" s="1"/>
  <c r="T104" i="1" s="1"/>
  <c r="U103" i="1"/>
  <c r="Q103" i="1"/>
  <c r="R103" i="1" s="1"/>
  <c r="I103" i="1"/>
  <c r="M103" i="1" s="1"/>
  <c r="T103" i="1" s="1"/>
  <c r="U102" i="1"/>
  <c r="Q102" i="1"/>
  <c r="S102" i="1" s="1"/>
  <c r="L102" i="1"/>
  <c r="M102" i="1" s="1"/>
  <c r="T102" i="1" s="1"/>
  <c r="U101" i="1"/>
  <c r="Q101" i="1"/>
  <c r="R101" i="1" s="1"/>
  <c r="L101" i="1"/>
  <c r="M101" i="1" s="1"/>
  <c r="T101" i="1" s="1"/>
  <c r="U100" i="1"/>
  <c r="Q100" i="1"/>
  <c r="S100" i="1" s="1"/>
  <c r="L100" i="1"/>
  <c r="M100" i="1" s="1"/>
  <c r="T100" i="1" s="1"/>
  <c r="U99" i="1"/>
  <c r="Q99" i="1"/>
  <c r="R99" i="1" s="1"/>
  <c r="L99" i="1"/>
  <c r="M99" i="1" s="1"/>
  <c r="T99" i="1" s="1"/>
  <c r="U98" i="1"/>
  <c r="Q98" i="1"/>
  <c r="L98" i="1"/>
  <c r="M98" i="1" s="1"/>
  <c r="T98" i="1" s="1"/>
  <c r="U97" i="1"/>
  <c r="Q97" i="1"/>
  <c r="R97" i="1" s="1"/>
  <c r="L97" i="1"/>
  <c r="M97" i="1" s="1"/>
  <c r="T97" i="1" s="1"/>
  <c r="U96" i="1"/>
  <c r="Q96" i="1"/>
  <c r="R96" i="1" s="1"/>
  <c r="L96" i="1"/>
  <c r="M96" i="1" s="1"/>
  <c r="T96" i="1" s="1"/>
  <c r="U95" i="1"/>
  <c r="Q95" i="1"/>
  <c r="S95" i="1" s="1"/>
  <c r="L95" i="1"/>
  <c r="M95" i="1" s="1"/>
  <c r="T95" i="1" s="1"/>
  <c r="U94" i="1"/>
  <c r="Q94" i="1"/>
  <c r="L94" i="1"/>
  <c r="M94" i="1" s="1"/>
  <c r="T94" i="1" s="1"/>
  <c r="U93" i="1"/>
  <c r="Q93" i="1"/>
  <c r="S93" i="1" s="1"/>
  <c r="L93" i="1"/>
  <c r="M93" i="1" s="1"/>
  <c r="T93" i="1" s="1"/>
  <c r="U92" i="1"/>
  <c r="Q92" i="1"/>
  <c r="R92" i="1" s="1"/>
  <c r="L92" i="1"/>
  <c r="M92" i="1" s="1"/>
  <c r="T92" i="1" s="1"/>
  <c r="U91" i="1"/>
  <c r="Q91" i="1"/>
  <c r="S91" i="1" s="1"/>
  <c r="L91" i="1"/>
  <c r="M91" i="1" s="1"/>
  <c r="T91" i="1" s="1"/>
  <c r="U90" i="1"/>
  <c r="Q90" i="1"/>
  <c r="S90" i="1" s="1"/>
  <c r="L90" i="1"/>
  <c r="M90" i="1" s="1"/>
  <c r="T90" i="1" s="1"/>
  <c r="Q89" i="1"/>
  <c r="R89" i="1" s="1"/>
  <c r="L89" i="1"/>
  <c r="M89" i="1" s="1"/>
  <c r="T89" i="1" s="1"/>
  <c r="V89" i="1" s="1"/>
  <c r="U88" i="1"/>
  <c r="Q88" i="1"/>
  <c r="S88" i="1" s="1"/>
  <c r="L88" i="1"/>
  <c r="M88" i="1" s="1"/>
  <c r="T88" i="1" s="1"/>
  <c r="U87" i="1"/>
  <c r="Q87" i="1"/>
  <c r="R87" i="1" s="1"/>
  <c r="L87" i="1"/>
  <c r="M87" i="1" s="1"/>
  <c r="T87" i="1" s="1"/>
  <c r="U86" i="1"/>
  <c r="Q86" i="1"/>
  <c r="R86" i="1" s="1"/>
  <c r="L86" i="1"/>
  <c r="M86" i="1" s="1"/>
  <c r="T86" i="1" s="1"/>
  <c r="Q85" i="1"/>
  <c r="L85" i="1"/>
  <c r="M85" i="1" s="1"/>
  <c r="T85" i="1" s="1"/>
  <c r="V85" i="1" s="1"/>
  <c r="Q84" i="1"/>
  <c r="R84" i="1" s="1"/>
  <c r="L84" i="1"/>
  <c r="M84" i="1" s="1"/>
  <c r="T84" i="1" s="1"/>
  <c r="Q83" i="1"/>
  <c r="R83" i="1" s="1"/>
  <c r="L83" i="1"/>
  <c r="M83" i="1" s="1"/>
  <c r="T83" i="1" s="1"/>
  <c r="Q82" i="1"/>
  <c r="S82" i="1" s="1"/>
  <c r="L82" i="1"/>
  <c r="M82" i="1" s="1"/>
  <c r="T82" i="1" s="1"/>
  <c r="Q81" i="1"/>
  <c r="S81" i="1" s="1"/>
  <c r="L81" i="1"/>
  <c r="M81" i="1" s="1"/>
  <c r="T81" i="1" s="1"/>
  <c r="Q80" i="1"/>
  <c r="R80" i="1" s="1"/>
  <c r="L80" i="1"/>
  <c r="M80" i="1" s="1"/>
  <c r="T80" i="1" s="1"/>
  <c r="U79" i="1"/>
  <c r="Q79" i="1"/>
  <c r="L79" i="1"/>
  <c r="M79" i="1" s="1"/>
  <c r="T79" i="1" s="1"/>
  <c r="U78" i="1"/>
  <c r="Q78" i="1"/>
  <c r="S78" i="1" s="1"/>
  <c r="L78" i="1"/>
  <c r="M78" i="1" s="1"/>
  <c r="T78" i="1" s="1"/>
  <c r="U77" i="1"/>
  <c r="Q77" i="1"/>
  <c r="S77" i="1" s="1"/>
  <c r="L77" i="1"/>
  <c r="M77" i="1" s="1"/>
  <c r="T77" i="1" s="1"/>
  <c r="U76" i="1"/>
  <c r="Q76" i="1"/>
  <c r="S76" i="1" s="1"/>
  <c r="L76" i="1"/>
  <c r="M76" i="1" s="1"/>
  <c r="T76" i="1" s="1"/>
  <c r="U75" i="1"/>
  <c r="Q75" i="1"/>
  <c r="R75" i="1" s="1"/>
  <c r="L75" i="1"/>
  <c r="M75" i="1" s="1"/>
  <c r="T75" i="1" s="1"/>
  <c r="U74" i="1"/>
  <c r="Q74" i="1"/>
  <c r="R74" i="1" s="1"/>
  <c r="L74" i="1"/>
  <c r="M74" i="1" s="1"/>
  <c r="T74" i="1" s="1"/>
  <c r="U73" i="1"/>
  <c r="Q73" i="1"/>
  <c r="R73" i="1" s="1"/>
  <c r="L73" i="1"/>
  <c r="M73" i="1" s="1"/>
  <c r="T73" i="1" s="1"/>
  <c r="U72" i="1"/>
  <c r="Q72" i="1"/>
  <c r="L72" i="1"/>
  <c r="M72" i="1" s="1"/>
  <c r="T72" i="1" s="1"/>
  <c r="U71" i="1"/>
  <c r="Q71" i="1"/>
  <c r="S71" i="1" s="1"/>
  <c r="L71" i="1"/>
  <c r="M71" i="1" s="1"/>
  <c r="T71" i="1" s="1"/>
  <c r="U70" i="1"/>
  <c r="Q70" i="1"/>
  <c r="R70" i="1" s="1"/>
  <c r="L70" i="1"/>
  <c r="M70" i="1" s="1"/>
  <c r="T70" i="1" s="1"/>
  <c r="U69" i="1"/>
  <c r="Q69" i="1"/>
  <c r="S69" i="1" s="1"/>
  <c r="L69" i="1"/>
  <c r="M69" i="1" s="1"/>
  <c r="T69" i="1" s="1"/>
  <c r="U68" i="1"/>
  <c r="Q68" i="1"/>
  <c r="S68" i="1" s="1"/>
  <c r="L68" i="1"/>
  <c r="M68" i="1" s="1"/>
  <c r="T68" i="1" s="1"/>
  <c r="U67" i="1"/>
  <c r="Q67" i="1"/>
  <c r="L67" i="1"/>
  <c r="M67" i="1" s="1"/>
  <c r="T67" i="1" s="1"/>
  <c r="Q66" i="1"/>
  <c r="R66" i="1" s="1"/>
  <c r="L66" i="1"/>
  <c r="M66" i="1" s="1"/>
  <c r="T66" i="1" s="1"/>
  <c r="Q65" i="1"/>
  <c r="R65" i="1" s="1"/>
  <c r="L65" i="1"/>
  <c r="M65" i="1" s="1"/>
  <c r="T65" i="1" s="1"/>
  <c r="Q64" i="1"/>
  <c r="R64" i="1" s="1"/>
  <c r="L64" i="1"/>
  <c r="M64" i="1" s="1"/>
  <c r="T64" i="1" s="1"/>
  <c r="Q63" i="1"/>
  <c r="S63" i="1" s="1"/>
  <c r="L63" i="1"/>
  <c r="M63" i="1" s="1"/>
  <c r="T63" i="1" s="1"/>
  <c r="U62" i="1"/>
  <c r="Q62" i="1"/>
  <c r="L62" i="1"/>
  <c r="M62" i="1" s="1"/>
  <c r="T62" i="1" s="1"/>
  <c r="U61" i="1"/>
  <c r="Q61" i="1"/>
  <c r="L61" i="1"/>
  <c r="M61" i="1" s="1"/>
  <c r="T61" i="1" s="1"/>
  <c r="U60" i="1"/>
  <c r="Q60" i="1"/>
  <c r="S60" i="1" s="1"/>
  <c r="L60" i="1"/>
  <c r="M60" i="1" s="1"/>
  <c r="T60" i="1" s="1"/>
  <c r="U59" i="1"/>
  <c r="Q59" i="1"/>
  <c r="L59" i="1"/>
  <c r="M59" i="1" s="1"/>
  <c r="T59" i="1" s="1"/>
  <c r="U58" i="1"/>
  <c r="Q58" i="1"/>
  <c r="R58" i="1" s="1"/>
  <c r="L58" i="1"/>
  <c r="M58" i="1" s="1"/>
  <c r="T58" i="1" s="1"/>
  <c r="U57" i="1"/>
  <c r="Q57" i="1"/>
  <c r="L57" i="1"/>
  <c r="M57" i="1" s="1"/>
  <c r="T57" i="1" s="1"/>
  <c r="U56" i="1"/>
  <c r="Q56" i="1"/>
  <c r="L56" i="1"/>
  <c r="M56" i="1" s="1"/>
  <c r="T56" i="1" s="1"/>
  <c r="U55" i="1"/>
  <c r="Q55" i="1"/>
  <c r="R55" i="1" s="1"/>
  <c r="L55" i="1"/>
  <c r="M55" i="1" s="1"/>
  <c r="T55" i="1" s="1"/>
  <c r="U54" i="1"/>
  <c r="Q54" i="1"/>
  <c r="S54" i="1" s="1"/>
  <c r="L54" i="1"/>
  <c r="M54" i="1" s="1"/>
  <c r="T54" i="1" s="1"/>
  <c r="Q53" i="1"/>
  <c r="L53" i="1"/>
  <c r="M53" i="1" s="1"/>
  <c r="T53" i="1" s="1"/>
  <c r="Q52" i="1"/>
  <c r="R52" i="1" s="1"/>
  <c r="L52" i="1"/>
  <c r="M52" i="1" s="1"/>
  <c r="T52" i="1" s="1"/>
  <c r="Q51" i="1"/>
  <c r="S51" i="1" s="1"/>
  <c r="L51" i="1"/>
  <c r="M51" i="1" s="1"/>
  <c r="T51" i="1" s="1"/>
  <c r="V51" i="1" s="1"/>
  <c r="Q50" i="1"/>
  <c r="L50" i="1"/>
  <c r="M50" i="1" s="1"/>
  <c r="T50" i="1" s="1"/>
  <c r="V50" i="1" s="1"/>
  <c r="W50" i="1" s="1"/>
  <c r="AI50" i="1" s="1"/>
  <c r="Q49" i="1"/>
  <c r="L49" i="1"/>
  <c r="M49" i="1" s="1"/>
  <c r="T49" i="1" s="1"/>
  <c r="U48" i="1"/>
  <c r="Q48" i="1"/>
  <c r="L48" i="1"/>
  <c r="M48" i="1" s="1"/>
  <c r="T48" i="1" s="1"/>
  <c r="Q47" i="1"/>
  <c r="L47" i="1"/>
  <c r="M47" i="1" s="1"/>
  <c r="T47" i="1" s="1"/>
  <c r="Q46" i="1"/>
  <c r="L46" i="1"/>
  <c r="M46" i="1" s="1"/>
  <c r="T46" i="1" s="1"/>
  <c r="V46" i="1" s="1"/>
  <c r="U45" i="1"/>
  <c r="Q45" i="1"/>
  <c r="S45" i="1" s="1"/>
  <c r="L45" i="1"/>
  <c r="M45" i="1" s="1"/>
  <c r="T45" i="1" s="1"/>
  <c r="U44" i="1"/>
  <c r="Q44" i="1"/>
  <c r="L44" i="1"/>
  <c r="M44" i="1" s="1"/>
  <c r="T44" i="1" s="1"/>
  <c r="U43" i="1"/>
  <c r="Q43" i="1"/>
  <c r="L43" i="1"/>
  <c r="M43" i="1" s="1"/>
  <c r="T43" i="1" s="1"/>
  <c r="U42" i="1"/>
  <c r="Q42" i="1"/>
  <c r="R42" i="1" s="1"/>
  <c r="L42" i="1"/>
  <c r="M42" i="1" s="1"/>
  <c r="T42" i="1" s="1"/>
  <c r="Q41" i="1"/>
  <c r="S41" i="1" s="1"/>
  <c r="L41" i="1"/>
  <c r="M41" i="1" s="1"/>
  <c r="T41" i="1" s="1"/>
  <c r="Q40" i="1"/>
  <c r="L40" i="1"/>
  <c r="M40" i="1" s="1"/>
  <c r="T40" i="1" s="1"/>
  <c r="Q39" i="1"/>
  <c r="S39" i="1" s="1"/>
  <c r="L39" i="1"/>
  <c r="M39" i="1" s="1"/>
  <c r="T39" i="1" s="1"/>
  <c r="Q38" i="1"/>
  <c r="S38" i="1" s="1"/>
  <c r="L38" i="1"/>
  <c r="M38" i="1" s="1"/>
  <c r="T38" i="1" s="1"/>
  <c r="Q37" i="1"/>
  <c r="S37" i="1" s="1"/>
  <c r="L37" i="1"/>
  <c r="M37" i="1" s="1"/>
  <c r="T37" i="1" s="1"/>
  <c r="Q36" i="1"/>
  <c r="S36" i="1" s="1"/>
  <c r="L36" i="1"/>
  <c r="M36" i="1" s="1"/>
  <c r="T36" i="1" s="1"/>
  <c r="Q35" i="1"/>
  <c r="S35" i="1" s="1"/>
  <c r="L35" i="1"/>
  <c r="M35" i="1" s="1"/>
  <c r="T35" i="1" s="1"/>
  <c r="Q34" i="1"/>
  <c r="R34" i="1" s="1"/>
  <c r="L34" i="1"/>
  <c r="M34" i="1" s="1"/>
  <c r="T34" i="1" s="1"/>
  <c r="V34" i="1" s="1"/>
  <c r="U33" i="1"/>
  <c r="Q33" i="1"/>
  <c r="R33" i="1" s="1"/>
  <c r="L33" i="1"/>
  <c r="M33" i="1" s="1"/>
  <c r="T33" i="1" s="1"/>
  <c r="U32" i="1"/>
  <c r="Q32" i="1"/>
  <c r="L32" i="1"/>
  <c r="M32" i="1" s="1"/>
  <c r="T32" i="1" s="1"/>
  <c r="U31" i="1"/>
  <c r="Q31" i="1"/>
  <c r="R31" i="1" s="1"/>
  <c r="L31" i="1"/>
  <c r="M31" i="1" s="1"/>
  <c r="T31" i="1" s="1"/>
  <c r="U30" i="1"/>
  <c r="Q30" i="1"/>
  <c r="S30" i="1" s="1"/>
  <c r="L30" i="1"/>
  <c r="M30" i="1" s="1"/>
  <c r="T30" i="1" s="1"/>
  <c r="U29" i="1"/>
  <c r="Q29" i="1"/>
  <c r="S29" i="1" s="1"/>
  <c r="L29" i="1"/>
  <c r="M29" i="1" s="1"/>
  <c r="T29" i="1" s="1"/>
  <c r="Q28" i="1"/>
  <c r="S28" i="1" s="1"/>
  <c r="L28" i="1"/>
  <c r="M28" i="1" s="1"/>
  <c r="T28" i="1" s="1"/>
  <c r="Q27" i="1"/>
  <c r="S27" i="1" s="1"/>
  <c r="L27" i="1"/>
  <c r="M27" i="1" s="1"/>
  <c r="T27" i="1" s="1"/>
  <c r="Q26" i="1"/>
  <c r="S26" i="1" s="1"/>
  <c r="L26" i="1"/>
  <c r="M26" i="1" s="1"/>
  <c r="T26" i="1" s="1"/>
  <c r="Q25" i="1"/>
  <c r="S25" i="1" s="1"/>
  <c r="L25" i="1"/>
  <c r="M25" i="1" s="1"/>
  <c r="T25" i="1" s="1"/>
  <c r="U24" i="1"/>
  <c r="Q24" i="1"/>
  <c r="R24" i="1" s="1"/>
  <c r="L24" i="1"/>
  <c r="M24" i="1" s="1"/>
  <c r="T24" i="1" s="1"/>
  <c r="U23" i="1"/>
  <c r="Q23" i="1"/>
  <c r="R23" i="1" s="1"/>
  <c r="L23" i="1"/>
  <c r="M23" i="1" s="1"/>
  <c r="T23" i="1" s="1"/>
  <c r="U22" i="1"/>
  <c r="Q22" i="1"/>
  <c r="S22" i="1" s="1"/>
  <c r="L22" i="1"/>
  <c r="M22" i="1" s="1"/>
  <c r="T22" i="1" s="1"/>
  <c r="U21" i="1"/>
  <c r="Q21" i="1"/>
  <c r="R21" i="1" s="1"/>
  <c r="L21" i="1"/>
  <c r="M21" i="1" s="1"/>
  <c r="T21" i="1" s="1"/>
  <c r="U20" i="1"/>
  <c r="Q20" i="1"/>
  <c r="S20" i="1" s="1"/>
  <c r="L20" i="1"/>
  <c r="M20" i="1" s="1"/>
  <c r="T20" i="1" s="1"/>
  <c r="U19" i="1"/>
  <c r="Q19" i="1"/>
  <c r="R19" i="1" s="1"/>
  <c r="L19" i="1"/>
  <c r="M19" i="1" s="1"/>
  <c r="T19" i="1" s="1"/>
  <c r="U18" i="1"/>
  <c r="Q18" i="1"/>
  <c r="R18" i="1" s="1"/>
  <c r="L18" i="1"/>
  <c r="M18" i="1" s="1"/>
  <c r="T18" i="1" s="1"/>
  <c r="U17" i="1"/>
  <c r="Q17" i="1"/>
  <c r="L17" i="1"/>
  <c r="M17" i="1" s="1"/>
  <c r="T17" i="1" s="1"/>
  <c r="U16" i="1"/>
  <c r="Q16" i="1"/>
  <c r="R16" i="1" s="1"/>
  <c r="L16" i="1"/>
  <c r="M16" i="1" s="1"/>
  <c r="T16" i="1" s="1"/>
  <c r="U15" i="1"/>
  <c r="Q15" i="1"/>
  <c r="S15" i="1" s="1"/>
  <c r="L15" i="1"/>
  <c r="M15" i="1" s="1"/>
  <c r="T15" i="1" s="1"/>
  <c r="S14" i="1"/>
  <c r="L14" i="1"/>
  <c r="M14" i="1" s="1"/>
  <c r="T14" i="1" s="1"/>
  <c r="U13" i="1"/>
  <c r="Q13" i="1"/>
  <c r="S13" i="1" s="1"/>
  <c r="L13" i="1"/>
  <c r="M13" i="1" s="1"/>
  <c r="T13" i="1" s="1"/>
  <c r="U12" i="1"/>
  <c r="Q12" i="1"/>
  <c r="S12" i="1" s="1"/>
  <c r="L12" i="1"/>
  <c r="M12" i="1" s="1"/>
  <c r="T12" i="1" s="1"/>
  <c r="U11" i="1"/>
  <c r="Q11" i="1"/>
  <c r="S11" i="1" s="1"/>
  <c r="L11" i="1"/>
  <c r="M11" i="1" s="1"/>
  <c r="T11" i="1" s="1"/>
  <c r="U10" i="1"/>
  <c r="L10" i="1"/>
  <c r="M10" i="1" s="1"/>
  <c r="T10" i="1" s="1"/>
  <c r="U9" i="1"/>
  <c r="Q9" i="1"/>
  <c r="S9" i="1" s="1"/>
  <c r="L9" i="1"/>
  <c r="M9" i="1" s="1"/>
  <c r="T9" i="1" s="1"/>
  <c r="U8" i="1"/>
  <c r="Q8" i="1"/>
  <c r="R8" i="1" s="1"/>
  <c r="L8" i="1"/>
  <c r="M8" i="1" s="1"/>
  <c r="T8" i="1" s="1"/>
  <c r="Q7" i="1"/>
  <c r="R7" i="1" s="1"/>
  <c r="L7" i="1"/>
  <c r="M7" i="1" s="1"/>
  <c r="T7" i="1" s="1"/>
  <c r="Q6" i="1"/>
  <c r="S6" i="1" s="1"/>
  <c r="L6" i="1"/>
  <c r="M6" i="1" s="1"/>
  <c r="T6" i="1" s="1"/>
  <c r="Q5" i="1"/>
  <c r="S5" i="1" s="1"/>
  <c r="L5" i="1"/>
  <c r="M5" i="1" s="1"/>
  <c r="T5" i="1" s="1"/>
  <c r="Q4" i="1"/>
  <c r="R4" i="1" s="1"/>
  <c r="L4" i="1"/>
  <c r="M4" i="1" s="1"/>
  <c r="T4" i="1" s="1"/>
  <c r="Q3" i="1"/>
  <c r="R3" i="1" s="1"/>
  <c r="L3" i="1"/>
  <c r="M3" i="1" s="1"/>
  <c r="T3" i="1" s="1"/>
  <c r="Q2" i="1"/>
  <c r="L2" i="1"/>
  <c r="M2" i="1" s="1"/>
  <c r="T2" i="1" s="1"/>
  <c r="V103" i="1" l="1"/>
  <c r="W103" i="1" s="1"/>
  <c r="AI103" i="1" s="1"/>
  <c r="V71" i="1"/>
  <c r="W71" i="1" s="1"/>
  <c r="AI71" i="1" s="1"/>
  <c r="V17" i="1"/>
  <c r="W17" i="1" s="1"/>
  <c r="AI17" i="1" s="1"/>
  <c r="V153" i="1"/>
  <c r="W153" i="1" s="1"/>
  <c r="AI153" i="1" s="1"/>
  <c r="V54" i="1"/>
  <c r="W54" i="1" s="1"/>
  <c r="AI54" i="1" s="1"/>
  <c r="V107" i="1"/>
  <c r="W107" i="1" s="1"/>
  <c r="AI107" i="1" s="1"/>
  <c r="V76" i="1"/>
  <c r="W76" i="1" s="1"/>
  <c r="AI76" i="1" s="1"/>
  <c r="V86" i="1"/>
  <c r="W86" i="1" s="1"/>
  <c r="AI86" i="1" s="1"/>
  <c r="V57" i="1"/>
  <c r="W57" i="1" s="1"/>
  <c r="AI57" i="1" s="1"/>
  <c r="V167" i="1"/>
  <c r="W167" i="1" s="1"/>
  <c r="AI167" i="1" s="1"/>
  <c r="V31" i="1"/>
  <c r="W31" i="1" s="1"/>
  <c r="AI31" i="1" s="1"/>
  <c r="R153" i="1"/>
  <c r="R41" i="1"/>
  <c r="V74" i="1"/>
  <c r="W74" i="1" s="1"/>
  <c r="AI74" i="1" s="1"/>
  <c r="V123" i="1"/>
  <c r="W123" i="1" s="1"/>
  <c r="AI123" i="1" s="1"/>
  <c r="V117" i="1"/>
  <c r="W117" i="1" s="1"/>
  <c r="AI117" i="1" s="1"/>
  <c r="R104" i="1"/>
  <c r="S58" i="1"/>
  <c r="V156" i="1"/>
  <c r="W156" i="1" s="1"/>
  <c r="AI156" i="1" s="1"/>
  <c r="S3" i="1"/>
  <c r="S66" i="1"/>
  <c r="S101" i="1"/>
  <c r="S84" i="1"/>
  <c r="R129" i="1"/>
  <c r="S150" i="1"/>
  <c r="V61" i="1"/>
  <c r="W61" i="1" s="1"/>
  <c r="AI61" i="1" s="1"/>
  <c r="V112" i="1"/>
  <c r="W112" i="1" s="1"/>
  <c r="AI112" i="1" s="1"/>
  <c r="S23" i="1"/>
  <c r="S18" i="1"/>
  <c r="S92" i="1"/>
  <c r="R102" i="1"/>
  <c r="S147" i="1"/>
  <c r="R30" i="1"/>
  <c r="S166" i="1"/>
  <c r="V96" i="1"/>
  <c r="W96" i="1" s="1"/>
  <c r="AI96" i="1" s="1"/>
  <c r="R51" i="1"/>
  <c r="R82" i="1"/>
  <c r="R124" i="1"/>
  <c r="S145" i="1"/>
  <c r="S8" i="1"/>
  <c r="R105" i="1"/>
  <c r="S121" i="1"/>
  <c r="S172" i="1"/>
  <c r="R32" i="1"/>
  <c r="S32" i="1"/>
  <c r="R76" i="1"/>
  <c r="S83" i="1"/>
  <c r="R116" i="1"/>
  <c r="R169" i="1"/>
  <c r="R17" i="1"/>
  <c r="S17" i="1"/>
  <c r="R109" i="1"/>
  <c r="R126" i="1"/>
  <c r="V134" i="1"/>
  <c r="W134" i="1" s="1"/>
  <c r="AI134" i="1" s="1"/>
  <c r="S56" i="1"/>
  <c r="R56" i="1"/>
  <c r="R100" i="1"/>
  <c r="R151" i="1"/>
  <c r="S151" i="1"/>
  <c r="S21" i="1"/>
  <c r="S123" i="1"/>
  <c r="S103" i="1"/>
  <c r="R63" i="1"/>
  <c r="S89" i="1"/>
  <c r="S114" i="1"/>
  <c r="R28" i="1"/>
  <c r="S74" i="1"/>
  <c r="W89" i="1"/>
  <c r="AI89" i="1" s="1"/>
  <c r="R113" i="1"/>
  <c r="S120" i="1"/>
  <c r="S79" i="1"/>
  <c r="R79" i="1"/>
  <c r="R91" i="1"/>
  <c r="R137" i="1"/>
  <c r="S85" i="1"/>
  <c r="R85" i="1"/>
  <c r="S112" i="1"/>
  <c r="V147" i="1"/>
  <c r="W147" i="1" s="1"/>
  <c r="AI147" i="1" s="1"/>
  <c r="R22" i="1"/>
  <c r="S53" i="1"/>
  <c r="R53" i="1"/>
  <c r="S55" i="1"/>
  <c r="R60" i="1"/>
  <c r="R164" i="1"/>
  <c r="R20" i="1"/>
  <c r="S148" i="1"/>
  <c r="R45" i="1"/>
  <c r="R54" i="1"/>
  <c r="S67" i="1"/>
  <c r="R67" i="1"/>
  <c r="R88" i="1"/>
  <c r="R142" i="1"/>
  <c r="S146" i="1"/>
  <c r="R146" i="1"/>
  <c r="S170" i="1"/>
  <c r="R170" i="1"/>
  <c r="S4" i="1"/>
  <c r="R35" i="1"/>
  <c r="S75" i="1"/>
  <c r="R81" i="1"/>
  <c r="R122" i="1"/>
  <c r="R132" i="1"/>
  <c r="S165" i="1"/>
  <c r="R9" i="1"/>
  <c r="R29" i="1"/>
  <c r="S86" i="1"/>
  <c r="S117" i="1"/>
  <c r="S134" i="1"/>
  <c r="R144" i="1"/>
  <c r="S33" i="1"/>
  <c r="S128" i="1"/>
  <c r="S152" i="1"/>
  <c r="R157" i="1"/>
  <c r="V92" i="1"/>
  <c r="W92" i="1" s="1"/>
  <c r="AI92" i="1" s="1"/>
  <c r="V140" i="1"/>
  <c r="W140" i="1" s="1"/>
  <c r="AI140" i="1" s="1"/>
  <c r="R93" i="1"/>
  <c r="R95" i="1"/>
  <c r="S96" i="1"/>
  <c r="S115" i="1"/>
  <c r="R118" i="1"/>
  <c r="R139" i="1"/>
  <c r="R160" i="1"/>
  <c r="S19" i="1"/>
  <c r="S34" i="1"/>
  <c r="V55" i="1"/>
  <c r="W55" i="1" s="1"/>
  <c r="AI55" i="1" s="1"/>
  <c r="R71" i="1"/>
  <c r="S106" i="1"/>
  <c r="V144" i="1"/>
  <c r="W144" i="1" s="1"/>
  <c r="AI144" i="1" s="1"/>
  <c r="S156" i="1"/>
  <c r="V164" i="1"/>
  <c r="W164" i="1" s="1"/>
  <c r="AI164" i="1" s="1"/>
  <c r="V145" i="1"/>
  <c r="W145" i="1" s="1"/>
  <c r="AI145" i="1" s="1"/>
  <c r="V70" i="1"/>
  <c r="W70" i="1" s="1"/>
  <c r="AI70" i="1" s="1"/>
  <c r="V120" i="1"/>
  <c r="W120" i="1" s="1"/>
  <c r="AI120" i="1" s="1"/>
  <c r="V18" i="1"/>
  <c r="W18" i="1" s="1"/>
  <c r="AI18" i="1" s="1"/>
  <c r="V169" i="1"/>
  <c r="W169" i="1" s="1"/>
  <c r="AI169" i="1" s="1"/>
  <c r="V20" i="1"/>
  <c r="W20" i="1" s="1"/>
  <c r="AI20" i="1" s="1"/>
  <c r="V15" i="1"/>
  <c r="W15" i="1" s="1"/>
  <c r="AI15" i="1" s="1"/>
  <c r="V8" i="1"/>
  <c r="W8" i="1" s="1"/>
  <c r="AI8" i="1" s="1"/>
  <c r="V28" i="1"/>
  <c r="W28" i="1" s="1"/>
  <c r="AI28" i="1" s="1"/>
  <c r="V69" i="1"/>
  <c r="W69" i="1" s="1"/>
  <c r="AI69" i="1" s="1"/>
  <c r="V4" i="1"/>
  <c r="W4" i="1" s="1"/>
  <c r="AI4" i="1" s="1"/>
  <c r="V110" i="1"/>
  <c r="W110" i="1" s="1"/>
  <c r="AI110" i="1" s="1"/>
  <c r="V37" i="1"/>
  <c r="W37" i="1" s="1"/>
  <c r="AI37" i="1" s="1"/>
  <c r="V44" i="1"/>
  <c r="W44" i="1" s="1"/>
  <c r="AI44" i="1" s="1"/>
  <c r="V93" i="1"/>
  <c r="W93" i="1" s="1"/>
  <c r="AI93" i="1" s="1"/>
  <c r="V38" i="1"/>
  <c r="W38" i="1" s="1"/>
  <c r="AI38" i="1" s="1"/>
  <c r="V14" i="1"/>
  <c r="W14" i="1" s="1"/>
  <c r="AI14" i="1" s="1"/>
  <c r="V29" i="1"/>
  <c r="W29" i="1" s="1"/>
  <c r="AI29" i="1" s="1"/>
  <c r="V3" i="1"/>
  <c r="W3" i="1" s="1"/>
  <c r="AI3" i="1" s="1"/>
  <c r="V30" i="1"/>
  <c r="W30" i="1" s="1"/>
  <c r="AI30" i="1" s="1"/>
  <c r="V22" i="1"/>
  <c r="W22" i="1" s="1"/>
  <c r="AI22" i="1" s="1"/>
  <c r="V45" i="1"/>
  <c r="W45" i="1" s="1"/>
  <c r="AI45" i="1" s="1"/>
  <c r="V13" i="1"/>
  <c r="W13" i="1" s="1"/>
  <c r="AI13" i="1" s="1"/>
  <c r="V41" i="1"/>
  <c r="W41" i="1" s="1"/>
  <c r="AI41" i="1" s="1"/>
  <c r="V43" i="1"/>
  <c r="W43" i="1" s="1"/>
  <c r="AI43" i="1" s="1"/>
  <c r="V2" i="1"/>
  <c r="W2" i="1" s="1"/>
  <c r="AI2" i="1" s="1"/>
  <c r="V12" i="1"/>
  <c r="W12" i="1" s="1"/>
  <c r="AI12" i="1" s="1"/>
  <c r="V19" i="1"/>
  <c r="W19" i="1" s="1"/>
  <c r="AI19" i="1" s="1"/>
  <c r="V36" i="1"/>
  <c r="W36" i="1" s="1"/>
  <c r="AI36" i="1" s="1"/>
  <c r="V82" i="1"/>
  <c r="W82" i="1" s="1"/>
  <c r="AI82" i="1" s="1"/>
  <c r="V119" i="1"/>
  <c r="W119" i="1" s="1"/>
  <c r="AI119" i="1" s="1"/>
  <c r="V142" i="1"/>
  <c r="W142" i="1" s="1"/>
  <c r="AI142" i="1" s="1"/>
  <c r="V158" i="1"/>
  <c r="W158" i="1" s="1"/>
  <c r="AI158" i="1" s="1"/>
  <c r="V125" i="1"/>
  <c r="W125" i="1" s="1"/>
  <c r="AI125" i="1" s="1"/>
  <c r="R27" i="1"/>
  <c r="R40" i="1"/>
  <c r="S40" i="1"/>
  <c r="W46" i="1"/>
  <c r="AI46" i="1" s="1"/>
  <c r="V60" i="1"/>
  <c r="W60" i="1" s="1"/>
  <c r="AI60" i="1" s="1"/>
  <c r="V65" i="1"/>
  <c r="W65" i="1" s="1"/>
  <c r="AI65" i="1" s="1"/>
  <c r="V42" i="1"/>
  <c r="W42" i="1" s="1"/>
  <c r="AI42" i="1" s="1"/>
  <c r="V124" i="1"/>
  <c r="W124" i="1" s="1"/>
  <c r="AI124" i="1" s="1"/>
  <c r="V155" i="1"/>
  <c r="W155" i="1" s="1"/>
  <c r="AI155" i="1" s="1"/>
  <c r="V172" i="1"/>
  <c r="W172" i="1" s="1"/>
  <c r="AI172" i="1" s="1"/>
  <c r="V5" i="1"/>
  <c r="W5" i="1" s="1"/>
  <c r="AI5" i="1" s="1"/>
  <c r="V47" i="1"/>
  <c r="W47" i="1" s="1"/>
  <c r="AI47" i="1" s="1"/>
  <c r="V68" i="1"/>
  <c r="W68" i="1" s="1"/>
  <c r="AI68" i="1" s="1"/>
  <c r="V80" i="1"/>
  <c r="W80" i="1" s="1"/>
  <c r="AI80" i="1" s="1"/>
  <c r="V116" i="1"/>
  <c r="W116" i="1" s="1"/>
  <c r="AI116" i="1" s="1"/>
  <c r="V21" i="1"/>
  <c r="W21" i="1" s="1"/>
  <c r="AI21" i="1" s="1"/>
  <c r="V72" i="1"/>
  <c r="W72" i="1" s="1"/>
  <c r="AI72" i="1" s="1"/>
  <c r="V109" i="1"/>
  <c r="W109" i="1" s="1"/>
  <c r="AI109" i="1" s="1"/>
  <c r="V166" i="1"/>
  <c r="W166" i="1" s="1"/>
  <c r="AI166" i="1" s="1"/>
  <c r="V35" i="1"/>
  <c r="W35" i="1" s="1"/>
  <c r="AI35" i="1" s="1"/>
  <c r="S72" i="1"/>
  <c r="R72" i="1"/>
  <c r="V79" i="1"/>
  <c r="W79" i="1" s="1"/>
  <c r="AI79" i="1" s="1"/>
  <c r="V90" i="1"/>
  <c r="W90" i="1" s="1"/>
  <c r="AI90" i="1" s="1"/>
  <c r="V9" i="1"/>
  <c r="W9" i="1" s="1"/>
  <c r="AI9" i="1" s="1"/>
  <c r="S49" i="1"/>
  <c r="R49" i="1"/>
  <c r="V146" i="1"/>
  <c r="W146" i="1" s="1"/>
  <c r="AI146" i="1" s="1"/>
  <c r="V159" i="1"/>
  <c r="W159" i="1" s="1"/>
  <c r="AI159" i="1" s="1"/>
  <c r="V11" i="1"/>
  <c r="W11" i="1" s="1"/>
  <c r="AI11" i="1" s="1"/>
  <c r="V39" i="1"/>
  <c r="W39" i="1" s="1"/>
  <c r="AI39" i="1" s="1"/>
  <c r="V48" i="1"/>
  <c r="W48" i="1" s="1"/>
  <c r="AI48" i="1" s="1"/>
  <c r="V53" i="1"/>
  <c r="W53" i="1" s="1"/>
  <c r="AI53" i="1" s="1"/>
  <c r="V87" i="1"/>
  <c r="W87" i="1" s="1"/>
  <c r="AI87" i="1" s="1"/>
  <c r="V152" i="1"/>
  <c r="W152" i="1" s="1"/>
  <c r="AI152" i="1" s="1"/>
  <c r="V16" i="1"/>
  <c r="W16" i="1" s="1"/>
  <c r="AI16" i="1" s="1"/>
  <c r="R26" i="1"/>
  <c r="S59" i="1"/>
  <c r="R59" i="1"/>
  <c r="V67" i="1"/>
  <c r="W67" i="1" s="1"/>
  <c r="AI67" i="1" s="1"/>
  <c r="V88" i="1"/>
  <c r="W88" i="1" s="1"/>
  <c r="AI88" i="1" s="1"/>
  <c r="V154" i="1"/>
  <c r="W154" i="1" s="1"/>
  <c r="AI154" i="1" s="1"/>
  <c r="V171" i="1"/>
  <c r="W171" i="1" s="1"/>
  <c r="AI171" i="1" s="1"/>
  <c r="S24" i="1"/>
  <c r="R38" i="1"/>
  <c r="V66" i="1"/>
  <c r="W66" i="1" s="1"/>
  <c r="AI66" i="1" s="1"/>
  <c r="V105" i="1"/>
  <c r="W105" i="1" s="1"/>
  <c r="AI105" i="1" s="1"/>
  <c r="V40" i="1"/>
  <c r="W40" i="1" s="1"/>
  <c r="AI40" i="1" s="1"/>
  <c r="V75" i="1"/>
  <c r="W75" i="1" s="1"/>
  <c r="AI75" i="1" s="1"/>
  <c r="V6" i="1"/>
  <c r="W6" i="1" s="1"/>
  <c r="AI6" i="1" s="1"/>
  <c r="R25" i="1"/>
  <c r="V58" i="1"/>
  <c r="W58" i="1" s="1"/>
  <c r="AI58" i="1" s="1"/>
  <c r="V10" i="1"/>
  <c r="W10" i="1" s="1"/>
  <c r="AI10" i="1" s="1"/>
  <c r="V23" i="1"/>
  <c r="W23" i="1" s="1"/>
  <c r="AI23" i="1" s="1"/>
  <c r="S44" i="1"/>
  <c r="R44" i="1"/>
  <c r="V63" i="1"/>
  <c r="W63" i="1" s="1"/>
  <c r="AI63" i="1" s="1"/>
  <c r="V73" i="1"/>
  <c r="W73" i="1" s="1"/>
  <c r="AI73" i="1" s="1"/>
  <c r="S110" i="1"/>
  <c r="R110" i="1"/>
  <c r="V139" i="1"/>
  <c r="W139" i="1" s="1"/>
  <c r="AI139" i="1" s="1"/>
  <c r="S2" i="1"/>
  <c r="R2" i="1"/>
  <c r="W34" i="1"/>
  <c r="AI34" i="1" s="1"/>
  <c r="V128" i="1"/>
  <c r="W128" i="1" s="1"/>
  <c r="AI128" i="1" s="1"/>
  <c r="V52" i="1"/>
  <c r="W52" i="1" s="1"/>
  <c r="AI52" i="1" s="1"/>
  <c r="V77" i="1"/>
  <c r="W77" i="1" s="1"/>
  <c r="AI77" i="1" s="1"/>
  <c r="V7" i="1"/>
  <c r="W7" i="1" s="1"/>
  <c r="AI7" i="1" s="1"/>
  <c r="V83" i="1"/>
  <c r="W83" i="1" s="1"/>
  <c r="AI83" i="1" s="1"/>
  <c r="V84" i="1"/>
  <c r="W84" i="1" s="1"/>
  <c r="AI84" i="1" s="1"/>
  <c r="V111" i="1"/>
  <c r="W111" i="1" s="1"/>
  <c r="AI111" i="1" s="1"/>
  <c r="V26" i="1"/>
  <c r="W26" i="1" s="1"/>
  <c r="AI26" i="1" s="1"/>
  <c r="V33" i="1"/>
  <c r="W33" i="1" s="1"/>
  <c r="AI33" i="1" s="1"/>
  <c r="V81" i="1"/>
  <c r="W81" i="1" s="1"/>
  <c r="AI81" i="1" s="1"/>
  <c r="V100" i="1"/>
  <c r="W100" i="1" s="1"/>
  <c r="AI100" i="1" s="1"/>
  <c r="V121" i="1"/>
  <c r="W121" i="1" s="1"/>
  <c r="AI121" i="1" s="1"/>
  <c r="S43" i="1"/>
  <c r="R43" i="1"/>
  <c r="V49" i="1"/>
  <c r="W49" i="1" s="1"/>
  <c r="AI49" i="1" s="1"/>
  <c r="V59" i="1"/>
  <c r="W59" i="1" s="1"/>
  <c r="AI59" i="1" s="1"/>
  <c r="V113" i="1"/>
  <c r="W113" i="1" s="1"/>
  <c r="AI113" i="1" s="1"/>
  <c r="V129" i="1"/>
  <c r="W129" i="1" s="1"/>
  <c r="AI129" i="1" s="1"/>
  <c r="V62" i="1"/>
  <c r="W62" i="1" s="1"/>
  <c r="AI62" i="1" s="1"/>
  <c r="V78" i="1"/>
  <c r="W78" i="1" s="1"/>
  <c r="AI78" i="1" s="1"/>
  <c r="W85" i="1"/>
  <c r="AI85" i="1" s="1"/>
  <c r="V99" i="1"/>
  <c r="W99" i="1" s="1"/>
  <c r="AI99" i="1" s="1"/>
  <c r="V24" i="1"/>
  <c r="W24" i="1" s="1"/>
  <c r="AI24" i="1" s="1"/>
  <c r="V25" i="1"/>
  <c r="W25" i="1" s="1"/>
  <c r="AI25" i="1" s="1"/>
  <c r="V27" i="1"/>
  <c r="W27" i="1" s="1"/>
  <c r="AI27" i="1" s="1"/>
  <c r="V32" i="1"/>
  <c r="W32" i="1" s="1"/>
  <c r="AI32" i="1" s="1"/>
  <c r="S46" i="1"/>
  <c r="R46" i="1"/>
  <c r="V163" i="1"/>
  <c r="W163" i="1" s="1"/>
  <c r="AI163" i="1" s="1"/>
  <c r="S62" i="1"/>
  <c r="R62" i="1"/>
  <c r="S140" i="1"/>
  <c r="R140" i="1"/>
  <c r="R11" i="1"/>
  <c r="R37" i="1"/>
  <c r="R78" i="1"/>
  <c r="R131" i="1"/>
  <c r="R149" i="1"/>
  <c r="S149" i="1"/>
  <c r="S73" i="1"/>
  <c r="S138" i="1"/>
  <c r="R138" i="1"/>
  <c r="R39" i="1"/>
  <c r="S42" i="1"/>
  <c r="S48" i="1"/>
  <c r="R48" i="1"/>
  <c r="R57" i="1"/>
  <c r="S57" i="1"/>
  <c r="S65" i="1"/>
  <c r="V127" i="1"/>
  <c r="W127" i="1" s="1"/>
  <c r="AI127" i="1" s="1"/>
  <c r="W132" i="1"/>
  <c r="AI132" i="1" s="1"/>
  <c r="V149" i="1"/>
  <c r="W149" i="1" s="1"/>
  <c r="AI149" i="1" s="1"/>
  <c r="R6" i="1"/>
  <c r="R36" i="1"/>
  <c r="R77" i="1"/>
  <c r="V97" i="1"/>
  <c r="W97" i="1" s="1"/>
  <c r="AI97" i="1" s="1"/>
  <c r="V102" i="1"/>
  <c r="W102" i="1" s="1"/>
  <c r="AI102" i="1" s="1"/>
  <c r="V131" i="1"/>
  <c r="W131" i="1" s="1"/>
  <c r="AI131" i="1" s="1"/>
  <c r="R135" i="1"/>
  <c r="V137" i="1"/>
  <c r="W137" i="1" s="1"/>
  <c r="AI137" i="1" s="1"/>
  <c r="R68" i="1"/>
  <c r="S87" i="1"/>
  <c r="V98" i="1"/>
  <c r="W98" i="1" s="1"/>
  <c r="AI98" i="1" s="1"/>
  <c r="W135" i="1"/>
  <c r="AI135" i="1" s="1"/>
  <c r="V143" i="1"/>
  <c r="W143" i="1" s="1"/>
  <c r="AI143" i="1" s="1"/>
  <c r="V148" i="1"/>
  <c r="W148" i="1" s="1"/>
  <c r="AI148" i="1" s="1"/>
  <c r="V151" i="1"/>
  <c r="W151" i="1" s="1"/>
  <c r="AI151" i="1" s="1"/>
  <c r="S171" i="1"/>
  <c r="V104" i="1"/>
  <c r="W104" i="1" s="1"/>
  <c r="AI104" i="1" s="1"/>
  <c r="R13" i="1"/>
  <c r="R125" i="1"/>
  <c r="R12" i="1"/>
  <c r="S61" i="1"/>
  <c r="R61" i="1"/>
  <c r="V101" i="1"/>
  <c r="W101" i="1" s="1"/>
  <c r="AI101" i="1" s="1"/>
  <c r="V115" i="1"/>
  <c r="W115" i="1" s="1"/>
  <c r="AI115" i="1" s="1"/>
  <c r="S133" i="1"/>
  <c r="R133" i="1"/>
  <c r="V141" i="1"/>
  <c r="W141" i="1" s="1"/>
  <c r="AI141" i="1" s="1"/>
  <c r="R15" i="1"/>
  <c r="S16" i="1"/>
  <c r="W51" i="1"/>
  <c r="AI51" i="1" s="1"/>
  <c r="V56" i="1"/>
  <c r="W56" i="1" s="1"/>
  <c r="AI56" i="1" s="1"/>
  <c r="V95" i="1"/>
  <c r="W95" i="1" s="1"/>
  <c r="AI95" i="1" s="1"/>
  <c r="W108" i="1"/>
  <c r="AI108" i="1" s="1"/>
  <c r="R111" i="1"/>
  <c r="V130" i="1"/>
  <c r="W130" i="1" s="1"/>
  <c r="AI130" i="1" s="1"/>
  <c r="W133" i="1"/>
  <c r="AI133" i="1" s="1"/>
  <c r="R141" i="1"/>
  <c r="S141" i="1"/>
  <c r="R159" i="1"/>
  <c r="S163" i="1"/>
  <c r="V165" i="1"/>
  <c r="W165" i="1" s="1"/>
  <c r="AI165" i="1" s="1"/>
  <c r="S167" i="1"/>
  <c r="R167" i="1"/>
  <c r="V91" i="1"/>
  <c r="W91" i="1" s="1"/>
  <c r="AI91" i="1" s="1"/>
  <c r="V122" i="1"/>
  <c r="W122" i="1" s="1"/>
  <c r="AI122" i="1" s="1"/>
  <c r="R90" i="1"/>
  <c r="V94" i="1"/>
  <c r="W94" i="1" s="1"/>
  <c r="AI94" i="1" s="1"/>
  <c r="V170" i="1"/>
  <c r="W170" i="1" s="1"/>
  <c r="AI170" i="1" s="1"/>
  <c r="V168" i="1"/>
  <c r="W168" i="1" s="1"/>
  <c r="AI168" i="1" s="1"/>
  <c r="R69" i="1"/>
  <c r="S97" i="1"/>
  <c r="V118" i="1"/>
  <c r="W118" i="1" s="1"/>
  <c r="AI118" i="1" s="1"/>
  <c r="S7" i="1"/>
  <c r="S47" i="1"/>
  <c r="R47" i="1"/>
  <c r="R50" i="1"/>
  <c r="S50" i="1"/>
  <c r="S143" i="1"/>
  <c r="R143" i="1"/>
  <c r="R5" i="1"/>
  <c r="S31" i="1"/>
  <c r="S52" i="1"/>
  <c r="V64" i="1"/>
  <c r="W64" i="1" s="1"/>
  <c r="AI64" i="1" s="1"/>
  <c r="S70" i="1"/>
  <c r="V106" i="1"/>
  <c r="W106" i="1" s="1"/>
  <c r="AI106" i="1" s="1"/>
  <c r="S119" i="1"/>
  <c r="S130" i="1"/>
  <c r="R130" i="1"/>
  <c r="V136" i="1"/>
  <c r="W136" i="1" s="1"/>
  <c r="AI136" i="1" s="1"/>
  <c r="S154" i="1"/>
  <c r="R154" i="1"/>
  <c r="S64" i="1"/>
  <c r="S80" i="1"/>
  <c r="S99" i="1"/>
  <c r="V150" i="1"/>
  <c r="W150" i="1" s="1"/>
  <c r="AI150" i="1" s="1"/>
  <c r="R158" i="1"/>
  <c r="S108" i="1"/>
  <c r="R108" i="1"/>
  <c r="V160" i="1"/>
  <c r="W160" i="1" s="1"/>
  <c r="AI160" i="1" s="1"/>
  <c r="V162" i="1"/>
  <c r="W162" i="1" s="1"/>
  <c r="AI162" i="1" s="1"/>
  <c r="S98" i="1"/>
  <c r="R98" i="1"/>
  <c r="W114" i="1"/>
  <c r="AI114" i="1" s="1"/>
  <c r="S94" i="1"/>
  <c r="R94" i="1"/>
  <c r="V157" i="1"/>
  <c r="W157" i="1" s="1"/>
  <c r="AI157" i="1" s="1"/>
  <c r="R162" i="1"/>
  <c r="S162" i="1"/>
  <c r="S136" i="1"/>
  <c r="R136" i="1"/>
  <c r="V138" i="1"/>
  <c r="W138" i="1" s="1"/>
  <c r="AI138" i="1" s="1"/>
  <c r="S107" i="1"/>
  <c r="R127" i="1"/>
  <c r="S155" i="1"/>
  <c r="S168" i="1"/>
</calcChain>
</file>

<file path=xl/sharedStrings.xml><?xml version="1.0" encoding="utf-8"?>
<sst xmlns="http://schemas.openxmlformats.org/spreadsheetml/2006/main" count="3446" uniqueCount="659">
  <si>
    <t>PUNTO</t>
  </si>
  <si>
    <t>OrigenGasto</t>
  </si>
  <si>
    <t>Punto2</t>
  </si>
  <si>
    <t>RUTA</t>
  </si>
  <si>
    <t>OBSERVACION</t>
  </si>
  <si>
    <t>Correo</t>
  </si>
  <si>
    <t>TRANSPORTISTA</t>
  </si>
  <si>
    <t>Servicio</t>
  </si>
  <si>
    <t>Costo</t>
  </si>
  <si>
    <t>Q calendario</t>
  </si>
  <si>
    <t>Q inasistencia</t>
  </si>
  <si>
    <t>Cantidad</t>
  </si>
  <si>
    <t>Total</t>
  </si>
  <si>
    <t>PROVEEDOR</t>
  </si>
  <si>
    <t>RUT</t>
  </si>
  <si>
    <t>TIPO</t>
  </si>
  <si>
    <t>DETALLE_$DOCUMENTO</t>
  </si>
  <si>
    <t>DETALLE_$IMP</t>
  </si>
  <si>
    <t>FINAL</t>
  </si>
  <si>
    <t>NETO/BRUTO</t>
  </si>
  <si>
    <t>IMPUESTO</t>
  </si>
  <si>
    <t>TOTAL_IMPUESTO</t>
  </si>
  <si>
    <t>LIQUIDO</t>
  </si>
  <si>
    <t>FORMA.PAGO</t>
  </si>
  <si>
    <t>NOMBRE</t>
  </si>
  <si>
    <t>BANCO</t>
  </si>
  <si>
    <t>TIPO CUENTA</t>
  </si>
  <si>
    <t>NUMERO CUENTA</t>
  </si>
  <si>
    <t>CIERRE</t>
  </si>
  <si>
    <t>PERIODO</t>
  </si>
  <si>
    <t>FECHA</t>
  </si>
  <si>
    <t>OC</t>
  </si>
  <si>
    <t>ADELANTOS</t>
  </si>
  <si>
    <t>TOTAL_PERCIBIR</t>
  </si>
  <si>
    <t>NOMBRE_ARCHIVO_PDF</t>
  </si>
  <si>
    <t>LA DEHESA</t>
  </si>
  <si>
    <t>Suscripciones</t>
  </si>
  <si>
    <t>AM.01</t>
  </si>
  <si>
    <t>POR DIA DE FIN DE SEMANA</t>
  </si>
  <si>
    <t>andresmunozfu@gmail.com</t>
  </si>
  <si>
    <t>ANDRES FERNANDO MUÑOZ FUENTES</t>
  </si>
  <si>
    <t>Reparto Fin de semana</t>
  </si>
  <si>
    <t>10513948-9</t>
  </si>
  <si>
    <t>BOLETA</t>
  </si>
  <si>
    <t>DEPOSITO</t>
  </si>
  <si>
    <t>10.513.948-9</t>
  </si>
  <si>
    <t>FALABELLA</t>
  </si>
  <si>
    <t>CUENTA VISTA</t>
  </si>
  <si>
    <t>MAYO 2026</t>
  </si>
  <si>
    <t>_Susc_BOL_ANDRES_MUNOZ.PDF</t>
  </si>
  <si>
    <t>VITACURA</t>
  </si>
  <si>
    <t>BH.01</t>
  </si>
  <si>
    <t>luisdelabarra@gmail.com</t>
  </si>
  <si>
    <t xml:space="preserve">BENITO ALEX HERRERA PAVEZ </t>
  </si>
  <si>
    <t>6697321-2</t>
  </si>
  <si>
    <t>BENITO ALEX HERRERA PAVEZ</t>
  </si>
  <si>
    <t>6.697.321-2</t>
  </si>
  <si>
    <t>BANCO BANCO CHILE</t>
  </si>
  <si>
    <t>_Susc_BOL_BENITO_HERRERA.PDF</t>
  </si>
  <si>
    <t>BH.02</t>
  </si>
  <si>
    <t>BH.03</t>
  </si>
  <si>
    <t>ÑUÑOA</t>
  </si>
  <si>
    <t>ÑU.06</t>
  </si>
  <si>
    <t>ariel.urzua@gmail.com</t>
  </si>
  <si>
    <t>ARIEL GREGORIO URZÚA GATICA</t>
  </si>
  <si>
    <t>BENJAMIN EMANUEL URZUA VEGA</t>
  </si>
  <si>
    <t>21367783-7</t>
  </si>
  <si>
    <t>21.367.783-7</t>
  </si>
  <si>
    <t>BANCO BANCO ESTADO</t>
  </si>
  <si>
    <t>_Susc_BOL_ARIEL_URZUA.PDF</t>
  </si>
  <si>
    <t>ÑU.07</t>
  </si>
  <si>
    <t>GALES</t>
  </si>
  <si>
    <t>CS.GA.06</t>
  </si>
  <si>
    <t>arteagasoraya73@gmail.com</t>
  </si>
  <si>
    <t>CARLOS TOMAS SORIANO MENDOZA</t>
  </si>
  <si>
    <t>BRIGIDA SORAYA ARTEAGA CEDEÑO</t>
  </si>
  <si>
    <t>25271323-9</t>
  </si>
  <si>
    <t>FACTURA</t>
  </si>
  <si>
    <t>25.271.323-9</t>
  </si>
  <si>
    <t>_Susc_FAC_BRIGIDA_ARTEAGA.PDF</t>
  </si>
  <si>
    <t>JS.GA.05</t>
  </si>
  <si>
    <t>JOSUE SORIANO ARTEAGA</t>
  </si>
  <si>
    <t>PEÑALOLEN</t>
  </si>
  <si>
    <t>JS.PE.02</t>
  </si>
  <si>
    <t>NETO</t>
  </si>
  <si>
    <t>TOTAL</t>
  </si>
  <si>
    <t>JS.PE.01</t>
  </si>
  <si>
    <t>JS.PE.04</t>
  </si>
  <si>
    <t>CARLOS TOMAS SORIANO MENDOZA (HIJO)</t>
  </si>
  <si>
    <t>LAS CONDES</t>
  </si>
  <si>
    <t>CB.LC.15, LC.17, LC.22</t>
  </si>
  <si>
    <t>ceciliaalarco5297@gmail.com</t>
  </si>
  <si>
    <t>CECILIA ISABEL BURGOS CACERES</t>
  </si>
  <si>
    <t>11866495-7</t>
  </si>
  <si>
    <t>11.866.495-7</t>
  </si>
  <si>
    <t>_Susc_FAC_CECILIA_BURGOS.PDF</t>
  </si>
  <si>
    <t>ARRIENDO</t>
  </si>
  <si>
    <t>FIJO MENSUAL</t>
  </si>
  <si>
    <t>Mercedes Taboga</t>
  </si>
  <si>
    <t>Arriendo Punto La Dehesa</t>
  </si>
  <si>
    <t>Comunidad Centro Financiero Las Pataguas</t>
  </si>
  <si>
    <t>56059600-6</t>
  </si>
  <si>
    <t>DOCUMENTO</t>
  </si>
  <si>
    <t>COMUNIDAD CENTRO FINANCIERO LAS PATAGUAS</t>
  </si>
  <si>
    <t>56.059.600-6</t>
  </si>
  <si>
    <t>CUENTA CORRIENTE</t>
  </si>
  <si>
    <t>_Susc_FAC_ARRIENDO_LAS_PATAGUAS.PDF</t>
  </si>
  <si>
    <t>JP.01</t>
  </si>
  <si>
    <t>Jhonnyperez3381@gmail.com</t>
  </si>
  <si>
    <t>JOHNY PEREZ</t>
  </si>
  <si>
    <t>DISTRIBUIDORA JOHNY PEREZ QUINTANA E.I.R.L.</t>
  </si>
  <si>
    <t>76416897- 6</t>
  </si>
  <si>
    <t>JOHNY PEREZ QUINTANA</t>
  </si>
  <si>
    <t>76.416.897- 6</t>
  </si>
  <si>
    <t>RIPLEY</t>
  </si>
  <si>
    <t>_Susc_FAC_JOHNY_PEREZ.PDF</t>
  </si>
  <si>
    <t>VP.01</t>
  </si>
  <si>
    <t>pvictoraldo@gmail.com</t>
  </si>
  <si>
    <t>DISTRIBUIDORA VICTOR PEREZ SPA</t>
  </si>
  <si>
    <t>77653925-2</t>
  </si>
  <si>
    <t>VICTOR PEREZ HEREDIA</t>
  </si>
  <si>
    <t>77.653.925-2</t>
  </si>
  <si>
    <t>_Susc_FAC_VICTOR_PEREZ.PDF</t>
  </si>
  <si>
    <t>VP.02</t>
  </si>
  <si>
    <t>VP.03</t>
  </si>
  <si>
    <t>VP.04</t>
  </si>
  <si>
    <t>VP.05</t>
  </si>
  <si>
    <t>Adicional - Reposiciones</t>
  </si>
  <si>
    <t>REPOSICIONES</t>
  </si>
  <si>
    <t>Reposiciones</t>
  </si>
  <si>
    <t>OPV</t>
  </si>
  <si>
    <t>SEGÚN PUNTOS DE ENTREGA DIARIOS</t>
  </si>
  <si>
    <t>JM.01</t>
  </si>
  <si>
    <t>JOSE FRANCISCO MARTINEZ MACHADO</t>
  </si>
  <si>
    <t>DS GROUP SPA.</t>
  </si>
  <si>
    <t>77201525-9 LD2</t>
  </si>
  <si>
    <t>DS GROUP SPA</t>
  </si>
  <si>
    <t>77.201.525-9 LD2</t>
  </si>
  <si>
    <t>BCI</t>
  </si>
  <si>
    <t>_Susc_FAC_DSG_FRANCISCO_MARTINEZ.PDF</t>
  </si>
  <si>
    <t>JM.AC</t>
  </si>
  <si>
    <t>Adicional reparto Cerro</t>
  </si>
  <si>
    <t>ÑU.03</t>
  </si>
  <si>
    <t>eduardorubilardiaz@gmail.com</t>
  </si>
  <si>
    <t>EDUARDO EUGENIO RUBILAR DIAZ</t>
  </si>
  <si>
    <t>9385475-6</t>
  </si>
  <si>
    <t>9.385.475-6</t>
  </si>
  <si>
    <t>_Susc_BOL_EDUARDO_RUBILAR.PDF</t>
  </si>
  <si>
    <t>ÑU.02</t>
  </si>
  <si>
    <t>ÑU.10</t>
  </si>
  <si>
    <t>EM.01</t>
  </si>
  <si>
    <t>elisa_mateluna@hotmail.com</t>
  </si>
  <si>
    <t>ELISA SOFIA MATELUNA GANGA</t>
  </si>
  <si>
    <t>12494761-8</t>
  </si>
  <si>
    <t>12.494.761-8</t>
  </si>
  <si>
    <t>_Susc_FAC_ELISA_MATELUNA.PDF</t>
  </si>
  <si>
    <t>LC.13</t>
  </si>
  <si>
    <t>erik.ledmarket@gmail.com</t>
  </si>
  <si>
    <t>ERIK WILLY HERWITTE VARGAS</t>
  </si>
  <si>
    <t>16681299-2</t>
  </si>
  <si>
    <t>16.681.299-2</t>
  </si>
  <si>
    <t>_Susc_FAC_ERIK_HERWITTE.PDF</t>
  </si>
  <si>
    <t>FO.LC.27</t>
  </si>
  <si>
    <t>Ignacio.caceres02826@gmail.com</t>
  </si>
  <si>
    <t>FLOR MARIA OSSES DIAZ</t>
  </si>
  <si>
    <t>IGNACIO ANDRES CACERES OSSES</t>
  </si>
  <si>
    <t>20002826-0</t>
  </si>
  <si>
    <t>20.002.826-0</t>
  </si>
  <si>
    <t>_Susc_FAC_IGNACIO_CACERES.PDF</t>
  </si>
  <si>
    <t>RC.TRASLADO TAPA</t>
  </si>
  <si>
    <t>RENE CACERES</t>
  </si>
  <si>
    <t>Transporte Tapa a Punto SD</t>
  </si>
  <si>
    <t>IC.LC.28</t>
  </si>
  <si>
    <t>MONITOR</t>
  </si>
  <si>
    <t>luisdelabarra@gmail.com, Mejiasmunozfrancisco1975@gmail.com</t>
  </si>
  <si>
    <t>FRANCISCO MANUEL MEJIAS MUÑOZ</t>
  </si>
  <si>
    <t>Monitoria Fin de Semana</t>
  </si>
  <si>
    <t>12894455-9</t>
  </si>
  <si>
    <t>12.894.455-9</t>
  </si>
  <si>
    <t>_Susc_BOL_FRANCISCO_MEJIAS.PDF</t>
  </si>
  <si>
    <t>ÑU.09</t>
  </si>
  <si>
    <t>ÑU.08</t>
  </si>
  <si>
    <t>GA.03</t>
  </si>
  <si>
    <t>gersonsalazar1973@gmail.com</t>
  </si>
  <si>
    <t>GERSON SALAZAR CHAVEZ</t>
  </si>
  <si>
    <t>14709280-6</t>
  </si>
  <si>
    <t>14.709.280-6</t>
  </si>
  <si>
    <t>_Susc_BOL_GERSON_SALAZAR.PDF</t>
  </si>
  <si>
    <t>GA.04</t>
  </si>
  <si>
    <t>GA.OPV</t>
  </si>
  <si>
    <t>PE.05</t>
  </si>
  <si>
    <t>PE.07</t>
  </si>
  <si>
    <t>luisdelabarra@gmail.com, hernan28@gmail.com</t>
  </si>
  <si>
    <t>HERNAN RUPERTO MALDONADO PAIRICAN</t>
  </si>
  <si>
    <t>9511293-5</t>
  </si>
  <si>
    <t>9.511.293-5</t>
  </si>
  <si>
    <t>_Susc_BOL_HERNAN_MALDONADO.PDF</t>
  </si>
  <si>
    <t>LC.02</t>
  </si>
  <si>
    <t>jeimmy.janine30@gmail.com</t>
  </si>
  <si>
    <t>JEIMMY JANINE PLAZA MARTINEZ</t>
  </si>
  <si>
    <t>17279635-4</t>
  </si>
  <si>
    <t>17.279.635-4</t>
  </si>
  <si>
    <t>_Susc_FAC_JEIMMY_PLAZA.PDF</t>
  </si>
  <si>
    <t>LC.04</t>
  </si>
  <si>
    <t>LC.07</t>
  </si>
  <si>
    <t>LC.12</t>
  </si>
  <si>
    <t>jimmyolivos18@gmail.com</t>
  </si>
  <si>
    <t xml:space="preserve">JIMMY EDWARD OLIVOS BERROCAL </t>
  </si>
  <si>
    <t>22732894-0</t>
  </si>
  <si>
    <t>22.732.894-0</t>
  </si>
  <si>
    <t>SCOTIABANK</t>
  </si>
  <si>
    <t>_Susc_BOL_JIMMY_OLIVOS.PDF</t>
  </si>
  <si>
    <t>PE.06</t>
  </si>
  <si>
    <t>JLP.01</t>
  </si>
  <si>
    <t>juanlimo_49@hotmail.com</t>
  </si>
  <si>
    <t>JUAN LIMO PURILLA</t>
  </si>
  <si>
    <t>19759386-5</t>
  </si>
  <si>
    <t>14.719248-7</t>
  </si>
  <si>
    <t>_Susc_FAC_JUAN_LIMO.PDF</t>
  </si>
  <si>
    <t>LC.01</t>
  </si>
  <si>
    <t>LUIS ALBERTO CASTILLO ZAVALA</t>
  </si>
  <si>
    <t>7362187-9</t>
  </si>
  <si>
    <t>7.362.187-9</t>
  </si>
  <si>
    <t>_Susc_BOL_LUIS_CASTILLO.PDF</t>
  </si>
  <si>
    <t>LCU.01</t>
  </si>
  <si>
    <t>LUIS HUMBERTO CUNEO PREVIST</t>
  </si>
  <si>
    <t>8709153-8</t>
  </si>
  <si>
    <t>8.709.153-8</t>
  </si>
  <si>
    <t>_Susc_BOL_LUIS_CUNEO.PDF</t>
  </si>
  <si>
    <t>GA.01</t>
  </si>
  <si>
    <t>manuelillanes44@gmail.com</t>
  </si>
  <si>
    <t>MANUEL ERNESTO ILLANES BELTRAN</t>
  </si>
  <si>
    <t>9112125-5</t>
  </si>
  <si>
    <t>9.112.125-5</t>
  </si>
  <si>
    <t>_Susc_BOL_MANUEL_ILLANES.PDF</t>
  </si>
  <si>
    <t>Jesuscadiz1928@gmail.com</t>
  </si>
  <si>
    <t>MANUEL JESUS HERNANDEZ CADIZ</t>
  </si>
  <si>
    <t>Fijo Mensual</t>
  </si>
  <si>
    <t>13072027-7</t>
  </si>
  <si>
    <t>13.072.027-7</t>
  </si>
  <si>
    <t>_Susc_FAC_MANUEL_HERNANDEZ.PDF</t>
  </si>
  <si>
    <t>LC.24</t>
  </si>
  <si>
    <t>FAVIO ANDRES JESUS HERNANDEZ CADIZ</t>
  </si>
  <si>
    <t xml:space="preserve">SD.04 </t>
  </si>
  <si>
    <t xml:space="preserve">SD.07 </t>
  </si>
  <si>
    <t>LC.08, LC.38</t>
  </si>
  <si>
    <t>LC.06</t>
  </si>
  <si>
    <t>ÑU.12</t>
  </si>
  <si>
    <t>luisdlabarra@gmail.com, diazrubilar1963@gmail.com</t>
  </si>
  <si>
    <t>MARCELO DEL ROSARIO RUBILAR DIAZ</t>
  </si>
  <si>
    <t>9898687-1</t>
  </si>
  <si>
    <t>9.898.687-1</t>
  </si>
  <si>
    <t>_Susc_BOL_MARCELO_RUBILAR.PDF</t>
  </si>
  <si>
    <t>ÑU.11</t>
  </si>
  <si>
    <t>ÑU.13</t>
  </si>
  <si>
    <t>ÑU.04</t>
  </si>
  <si>
    <t>MARCO ANTONIO VALDES ACEVEDO</t>
  </si>
  <si>
    <t>9908413-8</t>
  </si>
  <si>
    <t>9.908.413-8</t>
  </si>
  <si>
    <t>_Susc_BOL_MARCO_VALDES.PDF</t>
  </si>
  <si>
    <t>FT.01</t>
  </si>
  <si>
    <t>francisco.troncoso@live.com</t>
  </si>
  <si>
    <t>FRANCISCO TRONCOSO</t>
  </si>
  <si>
    <t>MARIA ISABEL RAMIREZ NUNEZ</t>
  </si>
  <si>
    <t>10140359-9</t>
  </si>
  <si>
    <t>10.140.359-9</t>
  </si>
  <si>
    <t>_Susc_FAC_MARIA_RAMIREZ.PDF</t>
  </si>
  <si>
    <t>RT.01</t>
  </si>
  <si>
    <t>RAMIRO TRONCOSO</t>
  </si>
  <si>
    <t>RT.02</t>
  </si>
  <si>
    <t>MP.LC.09</t>
  </si>
  <si>
    <t>marisol.pabe@gmail.com</t>
  </si>
  <si>
    <t>MARISOL DEL CARMEN PAREDES BELTRAN</t>
  </si>
  <si>
    <t>13145951-3</t>
  </si>
  <si>
    <t>13.145.951-3</t>
  </si>
  <si>
    <t>_Susc_FAC_MARISOL_PAREDES.PDF</t>
  </si>
  <si>
    <t>MP.LC.11</t>
  </si>
  <si>
    <t>MZ.01</t>
  </si>
  <si>
    <t>mauriciozuniga1977@gmail.com</t>
  </si>
  <si>
    <t>MAURICIO ALEJANDRO ZUÑIGA FUENTES</t>
  </si>
  <si>
    <t>78269187-2</t>
  </si>
  <si>
    <t>13.689.979-1</t>
  </si>
  <si>
    <t>_Susc_FAC_MAURICIO_ZUNIGA.PDF</t>
  </si>
  <si>
    <t>TRASLADO TAPA</t>
  </si>
  <si>
    <t>mauro14lupe@hotmail.com</t>
  </si>
  <si>
    <t>MAURICIO DEL CARMEN JARA MELO</t>
  </si>
  <si>
    <t>12987094-K</t>
  </si>
  <si>
    <t>12.987.094-K</t>
  </si>
  <si>
    <t>_Susc_FAC_MAURICIO_JARA.PDF</t>
  </si>
  <si>
    <t>MJ.01</t>
  </si>
  <si>
    <t>MJ.02</t>
  </si>
  <si>
    <t>MR.LC.03</t>
  </si>
  <si>
    <t>mene64@gmail.com</t>
  </si>
  <si>
    <t>MIGUEL ANGEL RODRIGUEZ RODRIGUEZ</t>
  </si>
  <si>
    <t>15777772-6</t>
  </si>
  <si>
    <t>15.777.772-6</t>
  </si>
  <si>
    <t>_Susc_FAC_MIGUEL_RODRIGUEZ.PDF</t>
  </si>
  <si>
    <t>MR.LC.10</t>
  </si>
  <si>
    <t>MR.LC.01</t>
  </si>
  <si>
    <t>MM.ÑU.14</t>
  </si>
  <si>
    <t>Milagros.2722@gmail.com</t>
  </si>
  <si>
    <t>MILAGROS KARINA MONTOYA LOYO</t>
  </si>
  <si>
    <t>22969573-8</t>
  </si>
  <si>
    <t>22.969.573-8</t>
  </si>
  <si>
    <t>_Susc_BOL_MILAGROS_MONTOYA.PDF</t>
  </si>
  <si>
    <t>MM.MONITOR</t>
  </si>
  <si>
    <t>MM.PE.03</t>
  </si>
  <si>
    <t>MM.PE.01</t>
  </si>
  <si>
    <t>MT.01</t>
  </si>
  <si>
    <t>MOISES ALEJANDRO TARAZONA CARRION</t>
  </si>
  <si>
    <t>21311553-7</t>
  </si>
  <si>
    <t>21.311.553-7</t>
  </si>
  <si>
    <t>_Susc_BOL_MOISES_TARAZONA.PDF</t>
  </si>
  <si>
    <t>OR.01</t>
  </si>
  <si>
    <t>ORLANDO ISRAEL RUMAY CHACON</t>
  </si>
  <si>
    <t>26522941-7</t>
  </si>
  <si>
    <t>26.522.941-7</t>
  </si>
  <si>
    <t>_Susc_BOL_ORLANDO_RUMAY.PDF</t>
  </si>
  <si>
    <t>DO.01</t>
  </si>
  <si>
    <t>pamazagrar@gmail.com</t>
  </si>
  <si>
    <t>DANIEL EDUARDO OSORES</t>
  </si>
  <si>
    <t>PAMELA VICTORIA AZAGRA RUBIO</t>
  </si>
  <si>
    <t>8513994-0</t>
  </si>
  <si>
    <t>8.513.994-0</t>
  </si>
  <si>
    <t>SECURITY</t>
  </si>
  <si>
    <t>_Susc_FAC_PAMELA_AZAGRA.PDF</t>
  </si>
  <si>
    <t>PA.01</t>
  </si>
  <si>
    <t>PR.01</t>
  </si>
  <si>
    <t>Claurs.2204@gmail.com</t>
  </si>
  <si>
    <t>PATRICIO ALADINO RIQUELME LIEMPI</t>
  </si>
  <si>
    <t>SANREY SPA</t>
  </si>
  <si>
    <t>77656334-K</t>
  </si>
  <si>
    <t>CLAUDIA EMPERATRIZ REYES SANTIBAÑEZ</t>
  </si>
  <si>
    <t>77.656.334-K</t>
  </si>
  <si>
    <t>_Susc_FAC_PR_CLAUDIA_REYES.PDF</t>
  </si>
  <si>
    <t>GA.02</t>
  </si>
  <si>
    <t>RODRIGO ENRIQUE PARDO JARAMILLO</t>
  </si>
  <si>
    <t>12266802-9</t>
  </si>
  <si>
    <t>12.266.802-9</t>
  </si>
  <si>
    <t>_Susc_BOL_RODRIGO_PARDO.PDF</t>
  </si>
  <si>
    <t>CS.LC.05</t>
  </si>
  <si>
    <t>herreraromulo43@gmail.com</t>
  </si>
  <si>
    <t>ROMOLO BACA HERRERA</t>
  </si>
  <si>
    <t>22800308-5</t>
  </si>
  <si>
    <t>22.800.308-5</t>
  </si>
  <si>
    <t>SANTANDER</t>
  </si>
  <si>
    <t>_Susc_FAC_ROMOLO_BACA.PDF</t>
  </si>
  <si>
    <t>CS.LC.36</t>
  </si>
  <si>
    <t>CS.SD.01</t>
  </si>
  <si>
    <t>CO.LC.33</t>
  </si>
  <si>
    <t>CT.MONITOR</t>
  </si>
  <si>
    <t>FG.LC.30</t>
  </si>
  <si>
    <t>MP.LC.29</t>
  </si>
  <si>
    <t>RB.SD.06</t>
  </si>
  <si>
    <t>DJ.SD.02</t>
  </si>
  <si>
    <t>AF.LC.16</t>
  </si>
  <si>
    <t>FP.SD.05</t>
  </si>
  <si>
    <t>ponceolavef@gmail.com</t>
  </si>
  <si>
    <t>FABIAN ANTONIO PONCE OLAVE</t>
  </si>
  <si>
    <t>ROSA ELIANA CORTES LEON</t>
  </si>
  <si>
    <t>9579144-1</t>
  </si>
  <si>
    <t>9.579.144-1</t>
  </si>
  <si>
    <t>_Susc_FAC_ROSA_CORTES.PDF</t>
  </si>
  <si>
    <t>_Susc_FAC_CLAUDIA_REYES.PDF</t>
  </si>
  <si>
    <t>CR.01</t>
  </si>
  <si>
    <t>BH.01, 02, 03</t>
  </si>
  <si>
    <t>REEMPLAZO</t>
  </si>
  <si>
    <t>NR.01</t>
  </si>
  <si>
    <t>NADIA ANDREA DE LOS URDES REYES PAUZOCA</t>
  </si>
  <si>
    <t>GA.07</t>
  </si>
  <si>
    <t>Sebasmoto40@gmail.com</t>
  </si>
  <si>
    <t>SEBASTIAN LUPERCIO CASTRO PIZARRO</t>
  </si>
  <si>
    <t>12638696-6</t>
  </si>
  <si>
    <t>12.638.696-6</t>
  </si>
  <si>
    <t>_Susc_BOL_SEBASTIAN_CASTRO.PDF</t>
  </si>
  <si>
    <t>FE.SD.03</t>
  </si>
  <si>
    <t>Jjeriao@gmail.com</t>
  </si>
  <si>
    <t>FLAVIO HERNAN ESCARATE GODOY</t>
  </si>
  <si>
    <t>TRANSPORTES D&amp;C SPA</t>
  </si>
  <si>
    <t>77892165-0</t>
  </si>
  <si>
    <t>FLAVIO ESCARATE GODOY</t>
  </si>
  <si>
    <t>15.334.093-5</t>
  </si>
  <si>
    <t>_Susc_FAC_SKY_JUAN_JERIA.PDF</t>
  </si>
  <si>
    <t>FE.SD.08</t>
  </si>
  <si>
    <t>VC.01</t>
  </si>
  <si>
    <t>victorcornejoa50@gmail.com</t>
  </si>
  <si>
    <t>VICTOR JESUS CORNEJO ASCENCIO</t>
  </si>
  <si>
    <t>7207425-4</t>
  </si>
  <si>
    <t>7.207.425-4</t>
  </si>
  <si>
    <t>_Susc_BOL_VICTOR_CORNEJO.PDF</t>
  </si>
  <si>
    <t>VC.02</t>
  </si>
  <si>
    <t>VCH.01</t>
  </si>
  <si>
    <t>quererespoder33@hotmail.com</t>
  </si>
  <si>
    <t>VICTOR LUIS CHUQUIPOMA MANTILLA</t>
  </si>
  <si>
    <t>22972066-K</t>
  </si>
  <si>
    <t>22.972.066-K</t>
  </si>
  <si>
    <t>_Susc_FAC_VICTOR_CHUQUIPOMA.PDF</t>
  </si>
  <si>
    <t>VCH.02</t>
  </si>
  <si>
    <t>PLAZA OESTE 1</t>
  </si>
  <si>
    <t>PLAZA OESTE</t>
  </si>
  <si>
    <t>Cristian.rubilar1980@gmail.com</t>
  </si>
  <si>
    <t>CRISTIAN RUBILAR</t>
  </si>
  <si>
    <t>Touristrans Chile SPA</t>
  </si>
  <si>
    <t>76765718-8</t>
  </si>
  <si>
    <t>Ernesto Martinez Cornejo</t>
  </si>
  <si>
    <t>14131790-3</t>
  </si>
  <si>
    <t>Cuenta Corriente</t>
  </si>
  <si>
    <t>_Susc_FAC_CRISTIAN_RUBILAR.PDF</t>
  </si>
  <si>
    <t>CA.01</t>
  </si>
  <si>
    <t>CECILIA LILIANA ALARCON ORTIZ</t>
  </si>
  <si>
    <t>10551402-6</t>
  </si>
  <si>
    <t>10.551.402-6</t>
  </si>
  <si>
    <t>CUENTA RUT</t>
  </si>
  <si>
    <t>_Susc_FAC_CECILIA_ALARCON.PDF</t>
  </si>
  <si>
    <t>PLAZA OESTE 2</t>
  </si>
  <si>
    <t>Jeannettemedina19@gmail.com</t>
  </si>
  <si>
    <t>JEANNETTE JAQUELINE MEDINA SILVA</t>
  </si>
  <si>
    <t>10111449-K</t>
  </si>
  <si>
    <t>10.111.449-K</t>
  </si>
  <si>
    <t>_Susc_BOL_JEANNETTE_MEDINA.PDF</t>
  </si>
  <si>
    <t>RA.01</t>
  </si>
  <si>
    <t>Racuna@cecinas.com</t>
  </si>
  <si>
    <t>RAMIRO MANUEL ACUÑA GALLARDO</t>
  </si>
  <si>
    <t>11848747-8</t>
  </si>
  <si>
    <t>11.848.747-8</t>
  </si>
  <si>
    <t>BANCO ESTADO</t>
  </si>
  <si>
    <t>_Susc_BOL_RAMIRO_ACUÑA.PDF</t>
  </si>
  <si>
    <t>pintodj74@gmail.com</t>
  </si>
  <si>
    <t>JAIME ENQRIQUE PINTO DIAZ</t>
  </si>
  <si>
    <t>12679150-K</t>
  </si>
  <si>
    <t>12.679.150-K</t>
  </si>
  <si>
    <t>_Susc_FAC_JAIME_PINTO.PDF</t>
  </si>
  <si>
    <t>Adicional - CaleraTango</t>
  </si>
  <si>
    <t>JP.CDT</t>
  </si>
  <si>
    <t>JC.01</t>
  </si>
  <si>
    <t>Josecantillana@gmail.com</t>
  </si>
  <si>
    <t>JOSE MIGUEL CANTILLANA ALMONACID</t>
  </si>
  <si>
    <t>10929445-4</t>
  </si>
  <si>
    <t>10.929.445-4</t>
  </si>
  <si>
    <t>_Susc_BOL_JOSE_CANTILLANA.PDF</t>
  </si>
  <si>
    <t>PLAZA OESTE 3</t>
  </si>
  <si>
    <t>S.caroosorio1990@gmail.com</t>
  </si>
  <si>
    <t>SILVIA CAROLINA OSORIO BRICEÑO</t>
  </si>
  <si>
    <t>17743791-3</t>
  </si>
  <si>
    <t>17.743.791-3</t>
  </si>
  <si>
    <t>_Susc_BOL_SILVIA_OSORIO.PDF</t>
  </si>
  <si>
    <t>SO.01</t>
  </si>
  <si>
    <t>AG.01</t>
  </si>
  <si>
    <t>aguerra6572@gmail.com</t>
  </si>
  <si>
    <t>ALEJANDRO FELIX GUERRA MACHUCA</t>
  </si>
  <si>
    <t>TRANSPORTE ALEJANDRO GUERRA EIRL</t>
  </si>
  <si>
    <t>78430442-6</t>
  </si>
  <si>
    <t>78.430.442-6</t>
  </si>
  <si>
    <t>_Susc_BOL_ALEJANDRO_GUERRA.PDF</t>
  </si>
  <si>
    <t>ER.01</t>
  </si>
  <si>
    <t>Eduardorojas3@hotmail.com</t>
  </si>
  <si>
    <t>EDUARDO GUSTAVO ROJAS ESPINOZA</t>
  </si>
  <si>
    <t>12491586-4</t>
  </si>
  <si>
    <t>12.491.586-4</t>
  </si>
  <si>
    <t>_Susc_BOL_EDUARDO_ROJAS.PDF</t>
  </si>
  <si>
    <t>PLAZA OESTE 4</t>
  </si>
  <si>
    <t>JS.01</t>
  </si>
  <si>
    <t>Jaime19931207@gmail.com</t>
  </si>
  <si>
    <t>JAIME ANTONIO SOTO AUCAPAN</t>
  </si>
  <si>
    <t>KATHERINNE DEL CARMEN ANCAMILLA PAINEPIL</t>
  </si>
  <si>
    <t>18763141-6</t>
  </si>
  <si>
    <t>18.763.141-6</t>
  </si>
  <si>
    <t>MERCADO PAGO</t>
  </si>
  <si>
    <t>_Susc_BOL_JAIME_SOTO.PDF</t>
  </si>
  <si>
    <t>JS.02</t>
  </si>
  <si>
    <t>JS.03</t>
  </si>
  <si>
    <t>JS.04</t>
  </si>
  <si>
    <t>JS.0</t>
  </si>
  <si>
    <t>VA.01</t>
  </si>
  <si>
    <t>Katherin.an.2011@gmail.com</t>
  </si>
  <si>
    <t>VALENTIN SEGUNDO ANCAMILLA SALAZAR</t>
  </si>
  <si>
    <t>11700380-9</t>
  </si>
  <si>
    <t>11.700.380-9</t>
  </si>
  <si>
    <t>_Susc_BOL_VALENTIN_ANCAMILLA.PDF</t>
  </si>
  <si>
    <t>VA.02</t>
  </si>
  <si>
    <t>SAN MIGUEL</t>
  </si>
  <si>
    <t>VA.03</t>
  </si>
  <si>
    <t>VA.04</t>
  </si>
  <si>
    <t>PLAZA OESTE 5</t>
  </si>
  <si>
    <t>Colina</t>
  </si>
  <si>
    <t>jose.hormazabal.silva@gmail.com</t>
  </si>
  <si>
    <t>JOSE LUIS HORMZABAL SILVA</t>
  </si>
  <si>
    <t>_Susc_FAC_MANUEL_HERNANDEZ_P_OESTE5.PDF</t>
  </si>
  <si>
    <t>Adicional - Lampa</t>
  </si>
  <si>
    <t>Lampa</t>
  </si>
  <si>
    <t>PATRICIO FERNANDO CAROCA VASQUEZ</t>
  </si>
  <si>
    <t>9196685-9</t>
  </si>
  <si>
    <t>9.196.685-9</t>
  </si>
  <si>
    <t>_Susc_BOL_PATRICIO_CAROCA.PDF</t>
  </si>
  <si>
    <t>CENTRO</t>
  </si>
  <si>
    <t>LA.01</t>
  </si>
  <si>
    <t>lugonalto2024@gmail.com</t>
  </si>
  <si>
    <t>LUIS GONZALO ALCALDE TORRES</t>
  </si>
  <si>
    <t>14559598-3</t>
  </si>
  <si>
    <t>14.559.598-3</t>
  </si>
  <si>
    <t>BANCO CHILE</t>
  </si>
  <si>
    <t>_Susc_FAC_LUIS_ALCALDE.PDF</t>
  </si>
  <si>
    <t>LA.02</t>
  </si>
  <si>
    <t>LA.03</t>
  </si>
  <si>
    <t>FD.01</t>
  </si>
  <si>
    <t>diazastorga.felipe@gmail.com</t>
  </si>
  <si>
    <t>FELIPE FABIAN DIAZ ASTORGA</t>
  </si>
  <si>
    <t>17739602-8</t>
  </si>
  <si>
    <t>17.739.602-8</t>
  </si>
  <si>
    <t>_Susc_FAC_FELIPE_DIAZ.PDF</t>
  </si>
  <si>
    <t>FD.02</t>
  </si>
  <si>
    <t>RR.01</t>
  </si>
  <si>
    <t>RR.02</t>
  </si>
  <si>
    <t>D.guajardofba@gmail.com</t>
  </si>
  <si>
    <t>RICARDO ANTONIO DIAZ GUAJARDO</t>
  </si>
  <si>
    <t>11371282-1</t>
  </si>
  <si>
    <t>11.371.282-1</t>
  </si>
  <si>
    <t>_Susc_FAC_RICARDO_DIAZ.PDF</t>
  </si>
  <si>
    <t>RD.01</t>
  </si>
  <si>
    <t>JG.01</t>
  </si>
  <si>
    <t>JG.02</t>
  </si>
  <si>
    <t>BELLAVISTA 1</t>
  </si>
  <si>
    <t>BELLAVISTA</t>
  </si>
  <si>
    <t>Michael_guti@hotmail.es</t>
  </si>
  <si>
    <t>WILFREDO WILLIAMS QUISPE GUTIERREZ</t>
  </si>
  <si>
    <t>JIG SPA</t>
  </si>
  <si>
    <t>78206404-5</t>
  </si>
  <si>
    <t>_Susc_FAC_WILLIAMS_QUISPE.PDF</t>
  </si>
  <si>
    <t>BELLAVISTA 2</t>
  </si>
  <si>
    <t>WQ.01</t>
  </si>
  <si>
    <t>WQ.02</t>
  </si>
  <si>
    <t>WQ.03</t>
  </si>
  <si>
    <t>LG.01</t>
  </si>
  <si>
    <t>AS.01</t>
  </si>
  <si>
    <t>CS.01</t>
  </si>
  <si>
    <t>CS.02</t>
  </si>
  <si>
    <t>BS.01</t>
  </si>
  <si>
    <t>RV.01</t>
  </si>
  <si>
    <t>RV.02</t>
  </si>
  <si>
    <t>LS.01</t>
  </si>
  <si>
    <t>VA03 Y VA04</t>
  </si>
  <si>
    <t>MACUL</t>
  </si>
  <si>
    <t>BS</t>
  </si>
  <si>
    <t>WQ.04</t>
  </si>
  <si>
    <t>YC.01</t>
  </si>
  <si>
    <t>flkconsuelo21@gmail.com</t>
  </si>
  <si>
    <t>YESENIA CONSUELO CASTRO GAJARDO</t>
  </si>
  <si>
    <t>DE PAUL SPA</t>
  </si>
  <si>
    <t>78176017-K</t>
  </si>
  <si>
    <t>13.438.427-1</t>
  </si>
  <si>
    <t>_Susc_FAC_YESENIA_CASTRO.PDF</t>
  </si>
  <si>
    <t>YC.02</t>
  </si>
  <si>
    <t>AF.01</t>
  </si>
  <si>
    <t>alefloresquiroz33@gmail.com</t>
  </si>
  <si>
    <t>ALEJANDRO MAURICIO FLORES QUIROZ</t>
  </si>
  <si>
    <t>15736181-3</t>
  </si>
  <si>
    <t>15.736.181-3</t>
  </si>
  <si>
    <t>_Susc_FAC_ALEJANDRO_FLORES.PDF</t>
  </si>
  <si>
    <t>AF.02</t>
  </si>
  <si>
    <t>R3</t>
  </si>
  <si>
    <t>PROVIDENCIA</t>
  </si>
  <si>
    <t>LOTA</t>
  </si>
  <si>
    <t>VARIABLE SEGÚN EJEMPLARES</t>
  </si>
  <si>
    <t>Carloscalfucura@gmail.com</t>
  </si>
  <si>
    <t>CARLOS ANTONIO CALFUCURA HERNANDEZ</t>
  </si>
  <si>
    <t>MARCOS GABRIEL CALFUCURA CONOMAN</t>
  </si>
  <si>
    <t>19802236-5</t>
  </si>
  <si>
    <t>_Susc_FAC_CARLOS_CALFUCURA.PDF</t>
  </si>
  <si>
    <t>Suma de LIQUIDO</t>
  </si>
  <si>
    <t>Total general</t>
  </si>
  <si>
    <t>PARICIO RIQUELME</t>
  </si>
  <si>
    <t>Punto</t>
  </si>
  <si>
    <t>Ruta</t>
  </si>
  <si>
    <t>v°b°</t>
  </si>
  <si>
    <t>Gales</t>
  </si>
  <si>
    <t>Gerson Salazar</t>
  </si>
  <si>
    <t>OK</t>
  </si>
  <si>
    <t>Eduardo Rubilar</t>
  </si>
  <si>
    <t>La Dehesa</t>
  </si>
  <si>
    <t>Victor Perez</t>
  </si>
  <si>
    <t>Las Condes</t>
  </si>
  <si>
    <t>Manuel Hernandez</t>
  </si>
  <si>
    <t>ClaudiaReyes</t>
  </si>
  <si>
    <t>TOTALES</t>
  </si>
  <si>
    <t>Local</t>
  </si>
  <si>
    <t>Nombre de Local</t>
  </si>
  <si>
    <t>Dirección</t>
  </si>
  <si>
    <t>Comuna</t>
  </si>
  <si>
    <t>UNIMARC PRINCIPE DE GALES</t>
  </si>
  <si>
    <t>PRINCIPE DE GALES</t>
  </si>
  <si>
    <t>Principe De Gales  # 7271</t>
  </si>
  <si>
    <t>La Reina</t>
  </si>
  <si>
    <t>UNIMARC LOS LEONES</t>
  </si>
  <si>
    <t>LOS LEONES</t>
  </si>
  <si>
    <t>Gral. Jose Artigas # 3250</t>
  </si>
  <si>
    <t>Ñuñoa</t>
  </si>
  <si>
    <t>UNIMARC LOS TRAPENSES</t>
  </si>
  <si>
    <t>LOS TRAPENSES</t>
  </si>
  <si>
    <t>Jose Alcalde Delano # 10497</t>
  </si>
  <si>
    <t>Lo Barnechea</t>
  </si>
  <si>
    <t>UNIMARC SAN ENRIQUE</t>
  </si>
  <si>
    <t>SAN ENRIQUE</t>
  </si>
  <si>
    <t>Av. Las Condes # 14791</t>
  </si>
  <si>
    <t>UNIMARC SANTA MARÍA</t>
  </si>
  <si>
    <t>SANTA MARÍA</t>
  </si>
  <si>
    <t>Av. Santa Maria # 6940</t>
  </si>
  <si>
    <t>Vitacura</t>
  </si>
  <si>
    <t>UNIMARC LAS CONDES</t>
  </si>
  <si>
    <t>Las Condes 9350</t>
  </si>
  <si>
    <t>UNIMARC LAS TRANQUERAS</t>
  </si>
  <si>
    <t>LAS TRANQUERAS</t>
  </si>
  <si>
    <t>Av Vitacura # 8400</t>
  </si>
  <si>
    <t>UNIMARC VITACURA II</t>
  </si>
  <si>
    <t>Av. Vitacura # 4607</t>
  </si>
  <si>
    <t>UNIMARC LOS MILITARES</t>
  </si>
  <si>
    <t>LOS MILITARES</t>
  </si>
  <si>
    <t>Manquehue #  457</t>
  </si>
  <si>
    <t>UNIMARC ESCUELA MILITAR</t>
  </si>
  <si>
    <t>ESCUELA MILITAR</t>
  </si>
  <si>
    <t>Av. Apoquindo # 4335</t>
  </si>
  <si>
    <t>UNIMARC MANQUEHUE</t>
  </si>
  <si>
    <t>MANQUEHUE</t>
  </si>
  <si>
    <t>Av. Manquehue # 1700</t>
  </si>
  <si>
    <t>Repartos Punto Ñuñoa.</t>
  </si>
  <si>
    <t>ÑU07</t>
  </si>
  <si>
    <t>FRANCISCO JAVIER MARTINEZ MUÑOZ $26.500</t>
  </si>
  <si>
    <t>ÑU08</t>
  </si>
  <si>
    <t>XIMENA BRÍGIDA OSSA POBLETE $25.000</t>
  </si>
  <si>
    <t>Ambos con Boleta de FRANCISCO JAVIER MARTINEZ MUÑOZ Rut 14276727-9</t>
  </si>
  <si>
    <t>Dejan de prestar servicios en Mayo y sus repartos los toman:</t>
  </si>
  <si>
    <t>BENJAMIN EMANUEL URZUA VEGA   21.367.783-7 (Boleta)</t>
  </si>
  <si>
    <r>
      <t>ÑU07 </t>
    </r>
    <r>
      <rPr>
        <sz val="12"/>
        <color rgb="FF000000"/>
        <rFont val="Aptos"/>
        <family val="2"/>
      </rPr>
      <t>- $25.000</t>
    </r>
  </si>
  <si>
    <t>FRANCISCO MANUEL MEJIAS MUÑOZ 12.894.455-9 (Boleta)</t>
  </si>
  <si>
    <r>
      <t>ÑU08 </t>
    </r>
    <r>
      <rPr>
        <sz val="12"/>
        <color rgb="FF000000"/>
        <rFont val="Aptos"/>
        <family val="2"/>
      </rPr>
      <t>- $25.000</t>
    </r>
  </si>
  <si>
    <t>NOTA: El reparto de $26.500 lo cerré en nueva tarifa de $25.000</t>
  </si>
  <si>
    <t>Puntos OPV.</t>
  </si>
  <si>
    <t>MARCELO DEL ROSARIO RUBILAR DIAZ Rut  9898687-1 (Boleta)</t>
  </si>
  <si>
    <t>Deja de repartir OPV.</t>
  </si>
  <si>
    <t>EDUARDO EUGENIO RUBILAR DIAZ Rut 9.385.475-6 (Boleta)</t>
  </si>
  <si>
    <t>Asume OPV de $2.500 X Punto</t>
  </si>
  <si>
    <t>Repartos Punto Vitacura.</t>
  </si>
  <si>
    <t>BENITO ALEX HERRERA PAVEZ Rut 6.697.321-2 (Boleta)</t>
  </si>
  <si>
    <t>BH.01 - BH.02 - BH.03</t>
  </si>
  <si>
    <t>Falto un fin de semana por tener vehículo en taller.</t>
  </si>
  <si>
    <t>3 repartos $60.500 por día (31.000, 15.000, 14.500)  </t>
  </si>
  <si>
    <t>SANREY SPA Rut 77.656.334-K (Factura - Claudia Reyes)</t>
  </si>
  <si>
    <t>Asumió reparto de Benito $121.000 (60.500 X 2)</t>
  </si>
  <si>
    <r>
      <t>PR01 </t>
    </r>
    <r>
      <rPr>
        <sz val="12"/>
        <color rgb="FF000000"/>
        <rFont val="Aptos"/>
        <family val="2"/>
      </rPr>
      <t>- Facturara reparto de PATRICIO ALADINO RIQUELME LIEMPI en una OC a parte.</t>
    </r>
  </si>
  <si>
    <t>Repartos Punto Las Condes</t>
  </si>
  <si>
    <t>FO.LC.27 - RC.TRASLADO TAPA - IC.LC.28</t>
  </si>
  <si>
    <t>IGNACIO ANDRES CACERES OSSES Rut 20.002.826-0 (Factura)</t>
  </si>
  <si>
    <t>Facturara a sus papas (Flor Osses y Rene Caceres) en una sola OC</t>
  </si>
  <si>
    <t>Repartos Punto Plaza Oeste 5</t>
  </si>
  <si>
    <t>Colina - Lampa</t>
  </si>
  <si>
    <t>JOSE LUIS HORMZABAL SILVA Rut 10.706.022-7 (Boleta)</t>
  </si>
  <si>
    <t>El regularizo en sii para pasar a Factura, pero no alcanza a emitir Factura este mes, por excepción este mes facturara MANUEL JESUS HERNANDEZ CADIZ Rut 13.072.027-7 en OC a parte.</t>
  </si>
  <si>
    <t>Repartos SAN MIGUEL</t>
  </si>
  <si>
    <t>VALENTIN ANCAMILLA SOLO HIZO 5 DIAS (HASTA EL 16/05/26) LOS OTROS 5 DIAS DIAS LOS REALIZO WILLIAMS QUISPE (JIG SPA) LOS REPARTOS DE PLAZA OESTE 4, LOS REALIZO JOSE SOTO (YERNO Y SOLICITO QUE SE LE PAGUE A SU SUEGRO)</t>
  </si>
  <si>
    <t>Carocavasquez1961@Gmail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</si>
</sst>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 * #,##0_ ;_ * \-#,##0_ ;_ * &quot;-&quot;_ ;_ @_ "/>
    <numFmt numFmtId="43" formatCode="_ * #,##0.00_ ;_ * \-#,##0.00_ ;_ * &quot;-&quot;??_ ;_ @_ "/>
    <numFmt numFmtId="164" formatCode="_-* #,##0\ _€_-;\-* #,##0\ _€_-;_-* &quot;-&quot;??\ _€_-;_-@_-"/>
    <numFmt numFmtId="165" formatCode="_-* #,##0.0\ _€_-;\-* #,##0.0\ _€_-;_-* &quot;-&quot;??\ _€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Inherit"/>
    </font>
    <font>
      <sz val="10"/>
      <color rgb="FF000000"/>
      <name val="Inherit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sz val="12"/>
      <color rgb="FFC82613"/>
      <name val="Aptos"/>
      <family val="2"/>
    </font>
    <font>
      <b/>
      <sz val="8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41" fontId="0" fillId="0" borderId="0" xfId="2" applyFont="1"/>
    <xf numFmtId="41" fontId="0" fillId="2" borderId="0" xfId="2" applyFont="1" applyFill="1"/>
    <xf numFmtId="3" fontId="0" fillId="0" borderId="0" xfId="2" applyNumberFormat="1" applyFont="1"/>
    <xf numFmtId="0" fontId="0" fillId="3" borderId="0" xfId="0" applyFill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41" fontId="0" fillId="0" borderId="0" xfId="2" applyFont="1" applyFill="1"/>
    <xf numFmtId="3" fontId="0" fillId="0" borderId="0" xfId="2" applyNumberFormat="1" applyFont="1" applyFill="1"/>
    <xf numFmtId="164" fontId="0" fillId="0" borderId="0" xfId="1" applyNumberFormat="1" applyFont="1" applyFill="1"/>
    <xf numFmtId="10" fontId="0" fillId="0" borderId="0" xfId="3" applyNumberFormat="1" applyFont="1" applyFill="1"/>
    <xf numFmtId="165" fontId="0" fillId="0" borderId="0" xfId="1" applyNumberFormat="1" applyFont="1" applyFill="1"/>
    <xf numFmtId="14" fontId="0" fillId="0" borderId="0" xfId="0" applyNumberFormat="1"/>
    <xf numFmtId="17" fontId="0" fillId="0" borderId="0" xfId="0" quotePrefix="1" applyNumberFormat="1"/>
    <xf numFmtId="164" fontId="0" fillId="0" borderId="0" xfId="0" applyNumberFormat="1"/>
    <xf numFmtId="0" fontId="0" fillId="0" borderId="0" xfId="0" pivotButton="1"/>
    <xf numFmtId="164" fontId="0" fillId="2" borderId="0" xfId="0" applyNumberFormat="1" applyFill="1"/>
    <xf numFmtId="0" fontId="0" fillId="4" borderId="0" xfId="0" applyFill="1"/>
    <xf numFmtId="0" fontId="0" fillId="5" borderId="1" xfId="0" applyFill="1" applyBorder="1"/>
    <xf numFmtId="0" fontId="0" fillId="5" borderId="4" xfId="0" applyFill="1" applyBorder="1"/>
    <xf numFmtId="0" fontId="0" fillId="0" borderId="1" xfId="0" applyBorder="1"/>
    <xf numFmtId="14" fontId="0" fillId="0" borderId="1" xfId="0" applyNumberFormat="1" applyBorder="1"/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 wrapText="1" readingOrder="1"/>
    </xf>
    <xf numFmtId="0" fontId="0" fillId="5" borderId="9" xfId="0" applyFill="1" applyBorder="1"/>
    <xf numFmtId="0" fontId="7" fillId="5" borderId="9" xfId="0" applyFont="1" applyFill="1" applyBorder="1" applyAlignment="1">
      <alignment vertical="center" wrapText="1" readingOrder="1"/>
    </xf>
    <xf numFmtId="0" fontId="5" fillId="5" borderId="9" xfId="0" applyFont="1" applyFill="1" applyBorder="1" applyAlignment="1">
      <alignment vertical="center" wrapText="1" readingOrder="1"/>
    </xf>
    <xf numFmtId="0" fontId="0" fillId="5" borderId="10" xfId="0" applyFill="1" applyBorder="1"/>
    <xf numFmtId="0" fontId="6" fillId="6" borderId="8" xfId="0" applyFont="1" applyFill="1" applyBorder="1" applyAlignment="1">
      <alignment vertical="center" wrapText="1" readingOrder="1"/>
    </xf>
    <xf numFmtId="0" fontId="5" fillId="6" borderId="9" xfId="0" applyFont="1" applyFill="1" applyBorder="1" applyAlignment="1">
      <alignment vertical="center" readingOrder="1"/>
    </xf>
    <xf numFmtId="0" fontId="0" fillId="6" borderId="9" xfId="0" applyFill="1" applyBorder="1" applyAlignment="1">
      <alignment readingOrder="1"/>
    </xf>
    <xf numFmtId="0" fontId="0" fillId="6" borderId="10" xfId="0" applyFill="1" applyBorder="1" applyAlignment="1">
      <alignment readingOrder="1"/>
    </xf>
    <xf numFmtId="0" fontId="6" fillId="6" borderId="8" xfId="0" applyFont="1" applyFill="1" applyBorder="1" applyAlignment="1">
      <alignment vertical="center" readingOrder="1"/>
    </xf>
    <xf numFmtId="0" fontId="7" fillId="6" borderId="9" xfId="0" applyFont="1" applyFill="1" applyBorder="1" applyAlignment="1">
      <alignment vertical="center" readingOrder="1"/>
    </xf>
    <xf numFmtId="0" fontId="6" fillId="5" borderId="8" xfId="0" applyFont="1" applyFill="1" applyBorder="1" applyAlignment="1">
      <alignment vertical="center" readingOrder="1"/>
    </xf>
    <xf numFmtId="0" fontId="0" fillId="5" borderId="9" xfId="0" applyFill="1" applyBorder="1" applyAlignment="1">
      <alignment readingOrder="1"/>
    </xf>
    <xf numFmtId="0" fontId="5" fillId="5" borderId="9" xfId="0" applyFont="1" applyFill="1" applyBorder="1" applyAlignment="1">
      <alignment vertical="center" readingOrder="1"/>
    </xf>
    <xf numFmtId="0" fontId="7" fillId="5" borderId="9" xfId="0" applyFont="1" applyFill="1" applyBorder="1" applyAlignment="1">
      <alignment vertical="center" readingOrder="1"/>
    </xf>
    <xf numFmtId="0" fontId="0" fillId="5" borderId="10" xfId="0" applyFill="1" applyBorder="1" applyAlignment="1">
      <alignment readingOrder="1"/>
    </xf>
    <xf numFmtId="0" fontId="5" fillId="5" borderId="10" xfId="0" applyFont="1" applyFill="1" applyBorder="1" applyAlignment="1">
      <alignment vertical="center" wrapText="1" readingOrder="1"/>
    </xf>
    <xf numFmtId="0" fontId="8" fillId="0" borderId="1" xfId="0" applyFont="1" applyBorder="1"/>
    <xf numFmtId="0" fontId="9" fillId="0" borderId="1" xfId="0" applyFont="1" applyBorder="1"/>
    <xf numFmtId="0" fontId="8" fillId="0" borderId="3" xfId="0" applyFont="1" applyBorder="1"/>
    <xf numFmtId="0" fontId="2" fillId="7" borderId="11" xfId="0" applyFont="1" applyFill="1" applyBorder="1"/>
    <xf numFmtId="0" fontId="0" fillId="5" borderId="4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7" fontId="2" fillId="0" borderId="4" xfId="0" quotePrefix="1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5" fillId="6" borderId="9" xfId="0" applyFont="1" applyFill="1" applyBorder="1" applyAlignment="1">
      <alignment horizontal="left" vertical="center" wrapText="1" readingOrder="1"/>
    </xf>
    <xf numFmtId="0" fontId="5" fillId="6" borderId="10" xfId="0" applyFont="1" applyFill="1" applyBorder="1" applyAlignment="1">
      <alignment horizontal="left" vertical="center" wrapText="1" readingOrder="1"/>
    </xf>
  </cellXfs>
  <cellStyles count="4">
    <cellStyle name="Millares" xfId="1" builtinId="3"/>
    <cellStyle name="Millares [0]" xfId="2" builtinId="6"/>
    <cellStyle name="Normal" xfId="0" builtinId="0"/>
    <cellStyle name="Porcentaje" xfId="3" builtinId="5"/>
  </cellStyles>
  <dxfs count="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1" defaultTableStyle="TableStyleMedium2" defaultPivotStyle="PivotStyleLight16">
    <tableStyle name="Invisible" pivot="0" table="0" count="0" xr9:uid="{E41E1A4C-1040-404E-BEE6-4494E6B9286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uisd/Documents/CORRECON/Banco/201806_Junio/201805_Gales-Pe&#241;alolen-Nunoa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f834cf64a343bf5/Documentos/PMCB/PAGOS/202605_PMCB_SUSCRIPCIONES.xlsx" TargetMode="External"/><Relationship Id="rId1" Type="http://schemas.openxmlformats.org/officeDocument/2006/relationships/externalLinkPath" Target="https://d.docs.live.net/cf834cf64a343bf5/Documentos/PMCB/PAGOS/202605_PMCB_SUSCRIPCIO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Detalle de Pagos"/>
      <sheetName val="Hoja2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Hoja2 (2)"/>
      <sheetName val="Hoja2"/>
      <sheetName val="Calendario"/>
      <sheetName val="OBS"/>
      <sheetName val="Cobro"/>
      <sheetName val="ResumenPagos"/>
      <sheetName val="RETENCION"/>
      <sheetName val="PAGOS"/>
      <sheetName val="Unimarc"/>
      <sheetName val="cOMISIONES"/>
      <sheetName val="Hoja3"/>
      <sheetName val="LOTA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1">
          <cell r="B11">
            <v>19076</v>
          </cell>
        </row>
      </sheetData>
      <sheetData sheetId="1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De la Barra Beroiza" refreshedDate="46190.673061805559" createdVersion="8" refreshedVersion="8" minRefreshableVersion="3" recordCount="171" xr:uid="{9B2A063B-B9A5-443B-824A-441D4E4554CD}">
  <cacheSource type="worksheet">
    <worksheetSource ref="A1:AJ172" sheet="Detalle_repartos"/>
  </cacheSource>
  <cacheFields count="35">
    <cacheField name="PUNTO" numFmtId="0">
      <sharedItems/>
    </cacheField>
    <cacheField name="OrigenGasto" numFmtId="0">
      <sharedItems/>
    </cacheField>
    <cacheField name="Punto2" numFmtId="0">
      <sharedItems/>
    </cacheField>
    <cacheField name="RUTA" numFmtId="0">
      <sharedItems/>
    </cacheField>
    <cacheField name="OBSERVACION" numFmtId="0">
      <sharedItems/>
    </cacheField>
    <cacheField name="TRANSPORTISTA" numFmtId="0">
      <sharedItems/>
    </cacheField>
    <cacheField name="Servicio" numFmtId="0">
      <sharedItems/>
    </cacheField>
    <cacheField name="Costo" numFmtId="41">
      <sharedItems containsSemiMixedTypes="0" containsString="0" containsNumber="1" containsInteger="1" minValue="283" maxValue="350000"/>
    </cacheField>
    <cacheField name="Q calendario" numFmtId="41">
      <sharedItems containsSemiMixedTypes="0" containsString="0" containsNumber="1" containsInteger="1" minValue="1" maxValue="60"/>
    </cacheField>
    <cacheField name="Q inasistencia" numFmtId="41">
      <sharedItems containsString="0" containsBlank="1" containsNumber="1" containsInteger="1" minValue="0" maxValue="5"/>
    </cacheField>
    <cacheField name="Cantidad" numFmtId="41">
      <sharedItems containsSemiMixedTypes="0" containsString="0" containsNumber="1" containsInteger="1" minValue="1" maxValue="19076"/>
    </cacheField>
    <cacheField name="Total" numFmtId="3">
      <sharedItems containsSemiMixedTypes="0" containsString="0" containsNumber="1" containsInteger="1" minValue="25000" maxValue="5398508"/>
    </cacheField>
    <cacheField name="PROVEEDOR" numFmtId="0">
      <sharedItems count="63">
        <s v="ANDRES FERNANDO MUÑOZ FUENTES"/>
        <s v="BENITO ALEX HERRERA PAVEZ "/>
        <s v="BENJAMIN EMANUEL URZUA VEGA"/>
        <s v="BRIGIDA SORAYA ARTEAGA CEDEÑO"/>
        <s v="CECILIA ISABEL BURGOS CACERES"/>
        <s v="Comunidad Centro Financiero Las Pataguas"/>
        <s v="DISTRIBUIDORA JOHNY PEREZ QUINTANA E.I.R.L."/>
        <s v="DISTRIBUIDORA VICTOR PEREZ SPA"/>
        <s v="DS GROUP SPA."/>
        <s v="EDUARDO EUGENIO RUBILAR DIAZ"/>
        <s v="ELISA SOFIA MATELUNA GANGA"/>
        <s v="ERIK WILLY HERWITTE VARGAS"/>
        <s v="IGNACIO ANDRES CACERES OSSES"/>
        <s v="FRANCISCO MANUEL MEJIAS MUÑOZ"/>
        <s v="GERSON SALAZAR CHAVEZ"/>
        <s v="HERNAN RUPERTO MALDONADO PAIRICAN"/>
        <s v="JEIMMY JANINE PLAZA MARTINEZ"/>
        <s v="JIMMY EDWARD OLIVOS BERROCAL "/>
        <s v="JUAN LIMO PURILLA"/>
        <s v="LUIS ALBERTO CASTILLO ZAVALA"/>
        <s v="LUIS HUMBERTO CUNEO PREVIST"/>
        <s v="MANUEL ERNESTO ILLANES BELTRAN"/>
        <s v="MANUEL JESUS HERNANDEZ CADIZ"/>
        <s v="MARCELO DEL ROSARIO RUBILAR DIAZ"/>
        <s v="MARCO ANTONIO VALDES ACEVEDO"/>
        <s v="MARIA ISABEL RAMIREZ NUNEZ"/>
        <s v="MARISOL DEL CARMEN PAREDES BELTRAN"/>
        <s v="MAURICIO ALEJANDRO ZUÑIGA FUENTES"/>
        <s v="MAURICIO DEL CARMEN JARA MELO"/>
        <s v="MIGUEL ANGEL RODRIGUEZ RODRIGUEZ"/>
        <s v="MILAGROS KARINA MONTOYA LOYO"/>
        <s v="MOISES ALEJANDRO TARAZONA CARRION"/>
        <s v="ORLANDO ISRAEL RUMAY CHACON"/>
        <s v="PAMELA VICTORIA AZAGRA RUBIO"/>
        <s v="SANREY SPA"/>
        <s v="RODRIGO ENRIQUE PARDO JARAMILLO"/>
        <s v="ROMOLO BACA HERRERA"/>
        <s v="ROSA ELIANA CORTES LEON"/>
        <s v="SEBASTIAN LUPERCIO CASTRO PIZARRO"/>
        <s v="TRANSPORTES D&amp;C SPA"/>
        <s v="VICTOR JESUS CORNEJO ASCENCIO"/>
        <s v="VICTOR LUIS CHUQUIPOMA MANTILLA"/>
        <s v="Touristrans Chile SPA"/>
        <s v="CECILIA LILIANA ALARCON ORTIZ"/>
        <s v="JEANNETTE JAQUELINE MEDINA SILVA"/>
        <s v="RAMIRO MANUEL ACUÑA GALLARDO"/>
        <s v="JAIME ENQRIQUE PINTO DIAZ"/>
        <s v="JOSE MIGUEL CANTILLANA ALMONACID"/>
        <s v="SILVIA CAROLINA OSORIO BRICEÑO"/>
        <s v="TRANSPORTE ALEJANDRO GUERRA EIRL"/>
        <s v="EDUARDO GUSTAVO ROJAS ESPINOZA"/>
        <s v="KATHERINNE DEL CARMEN ANCAMILLA PAINEPIL"/>
        <s v="VALENTIN SEGUNDO ANCAMILLA SALAZAR"/>
        <s v="PATRICIO FERNANDO CAROCA VASQUEZ"/>
        <s v="LUIS GONZALO ALCALDE TORRES"/>
        <s v="FELIPE FABIAN DIAZ ASTORGA"/>
        <s v="RICARDO ANTONIO DIAZ GUAJARDO"/>
        <s v="JIG SPA"/>
        <s v="DE PAUL SPA"/>
        <s v="ALEJANDRO MAURICIO FLORES QUIROZ"/>
        <s v="MARCOS GABRIEL CALFUCURA CONOMAN"/>
        <s v="LORENZA ROMERO MARTINEZ" u="1"/>
        <s v="COMERCIAL CARLOS CALFUCURA EIRL" u="1"/>
      </sharedItems>
    </cacheField>
    <cacheField name="RUT" numFmtId="0">
      <sharedItems count="123">
        <s v="10513948-9"/>
        <s v="6697321-2"/>
        <s v="21367783-7"/>
        <s v="25271323-9"/>
        <s v="11866495-7"/>
        <s v="56059600-6"/>
        <s v="76416897- 6"/>
        <s v="77653925-2"/>
        <s v="77201525-9 LD2"/>
        <s v="9385475-6"/>
        <s v="12494761-8"/>
        <s v="16681299-2"/>
        <s v="20002826-0"/>
        <s v="12894455-9"/>
        <s v="14709280-6"/>
        <s v="9511293-5"/>
        <s v="17279635-4"/>
        <s v="22732894-0"/>
        <s v="19759386-5"/>
        <s v="7362187-9"/>
        <s v="8709153-8"/>
        <s v="9112125-5"/>
        <s v="13072027-7"/>
        <s v="9898687-1"/>
        <s v="9908413-8"/>
        <s v="10140359-9"/>
        <s v="13145951-3"/>
        <s v="78269187-2"/>
        <s v="12987094-K"/>
        <s v="15777772-6"/>
        <s v="22969573-8"/>
        <s v="21311553-7"/>
        <s v="26522941-7"/>
        <s v="8513994-0"/>
        <s v="77656334-K"/>
        <s v="12266802-9"/>
        <s v="22800308-5"/>
        <s v="9579144-1"/>
        <s v="12638696-6"/>
        <s v="77892165-0"/>
        <s v="7207425-4"/>
        <s v="22972066-K"/>
        <s v="76765718-8"/>
        <s v="10551402-6"/>
        <s v="10111449-K"/>
        <s v="11848747-8"/>
        <s v="12679150-K"/>
        <s v="10929445-4"/>
        <s v="17743791-3"/>
        <s v="78430442-6"/>
        <s v="12491586-4"/>
        <s v="18763141-6"/>
        <s v="11700380-9"/>
        <s v="9196685-9"/>
        <s v="14559598-3"/>
        <s v="17739602-8"/>
        <s v="11371282-1"/>
        <s v="78206404-5"/>
        <s v="78176017-K"/>
        <s v="15736181-3"/>
        <s v="19802236-5"/>
        <s v="12328835-1" u="1"/>
        <s v="76028821-7" u="1"/>
        <s v="10.513.948-9" u="1"/>
        <s v="6.697.321-2" u="1"/>
        <s v="21.367.783-7" u="1"/>
        <s v="25.271.323-9" u="1"/>
        <s v="11.866.495-7" u="1"/>
        <s v="56.059.600-6" u="1"/>
        <s v="76.416.897- 6" u="1"/>
        <s v="77.653.925-2" u="1"/>
        <s v="77.201.525-9 LD2" u="1"/>
        <s v="9.385.475-6" u="1"/>
        <s v="12.494.761-8" u="1"/>
        <s v="16.681.299-2" u="1"/>
        <s v="20.002.826-0" u="1"/>
        <s v="12.894.455-9" u="1"/>
        <s v="14.709.280-6" u="1"/>
        <s v="9.511.293-5" u="1"/>
        <s v="17.279.635-4" u="1"/>
        <s v="22.732.894-0" u="1"/>
        <s v="19.759.386-5" u="1"/>
        <s v="7.362.187-9" u="1"/>
        <s v="8.709.153-8" u="1"/>
        <s v="9.112.125-5" u="1"/>
        <s v="13.072.027-7" u="1"/>
        <s v="9.898.687-1" u="1"/>
        <s v="9.908.413-8" u="1"/>
        <s v="10.140.359-9" u="1"/>
        <s v="13.145.951-3" u="1"/>
        <s v="78.269.187-2" u="1"/>
        <s v="12.987.094-K" u="1"/>
        <s v="15.777.772-6" u="1"/>
        <s v="22.969.573-8" u="1"/>
        <s v="21.311.553-7" u="1"/>
        <s v="26.522.941-7" u="1"/>
        <s v="8.513.994-0" u="1"/>
        <s v="77.656.334-K" u="1"/>
        <s v="12.266.802-9" u="1"/>
        <s v="22.800.308-5" u="1"/>
        <s v="9.579.144-1" u="1"/>
        <s v="12.638.696-6" u="1"/>
        <s v="77.892.165-0" u="1"/>
        <s v="7.207.425-4" u="1"/>
        <s v="22.972.066-K" u="1"/>
        <s v="10.551.402-6" u="1"/>
        <s v="10.111.449-K" u="1"/>
        <s v="11.848.747-8" u="1"/>
        <s v="12.679.150-K" u="1"/>
        <s v="10.929.445-4" u="1"/>
        <s v="17.743.791-3" u="1"/>
        <s v="12.328.835-1" u="1"/>
        <s v="12.491.586-4" u="1"/>
        <s v="18.763.141-6" u="1"/>
        <s v="11.700.380-9" u="1"/>
        <s v="9.196.685-9" u="1"/>
        <s v="14.559.598-3" u="1"/>
        <s v="17.739.602-8" u="1"/>
        <s v="11.371.282-1" u="1"/>
        <s v="78.206.404-5" u="1"/>
        <s v="78.176.017-K" u="1"/>
        <s v="15.736.181-3" u="1"/>
        <s v="76.028.821-7" u="1"/>
      </sharedItems>
    </cacheField>
    <cacheField name="TIPO" numFmtId="0">
      <sharedItems count="3">
        <s v="BOLETA"/>
        <s v="FACTURA"/>
        <s v="DOCUMENTO"/>
      </sharedItems>
    </cacheField>
    <cacheField name="DETALLE_$DOCUMENTO" numFmtId="0">
      <sharedItems containsBlank="1"/>
    </cacheField>
    <cacheField name="DETALLE_$IMP" numFmtId="0">
      <sharedItems containsBlank="1"/>
    </cacheField>
    <cacheField name="FINAL" numFmtId="0">
      <sharedItems/>
    </cacheField>
    <cacheField name="NETO/BRUTO" numFmtId="164">
      <sharedItems containsSemiMixedTypes="0" containsString="0" containsNumber="1" containsInteger="1" minValue="25000" maxValue="5398508"/>
    </cacheField>
    <cacheField name="IMPUESTO" numFmtId="10">
      <sharedItems containsSemiMixedTypes="0" containsString="0" containsNumber="1" minValue="0" maxValue="0.19"/>
    </cacheField>
    <cacheField name="TOTAL_IMPUESTO" numFmtId="165">
      <sharedItems containsSemiMixedTypes="0" containsString="0" containsNumber="1" minValue="0" maxValue="1025716.52"/>
    </cacheField>
    <cacheField name="LIQUIDO" numFmtId="164">
      <sharedItems containsSemiMixedTypes="0" containsString="0" containsNumber="1" containsInteger="1" minValue="21187" maxValue="6424224"/>
    </cacheField>
    <cacheField name="FORMA.PAGO" numFmtId="164">
      <sharedItems/>
    </cacheField>
    <cacheField name="NOMBRE" numFmtId="0">
      <sharedItems/>
    </cacheField>
    <cacheField name="RUT2" numFmtId="0">
      <sharedItems/>
    </cacheField>
    <cacheField name="BANCO" numFmtId="0">
      <sharedItems/>
    </cacheField>
    <cacheField name="TIPO CUENTA" numFmtId="0">
      <sharedItems/>
    </cacheField>
    <cacheField name="NUMERO CUENTA" numFmtId="0">
      <sharedItems containsSemiMixedTypes="0" containsString="0" containsNumber="1" containsInteger="1" minValue="7207425" maxValue="55560006443"/>
    </cacheField>
    <cacheField name="CIERRE" numFmtId="14">
      <sharedItems containsSemiMixedTypes="0" containsNonDate="0" containsDate="1" containsString="0" minDate="2026-05-31T00:00:00" maxDate="2026-06-01T00:00:00"/>
    </cacheField>
    <cacheField name="PERIODO" numFmtId="17">
      <sharedItems/>
    </cacheField>
    <cacheField name="FECHA" numFmtId="14">
      <sharedItems containsSemiMixedTypes="0" containsNonDate="0" containsDate="1" containsString="0" minDate="2026-06-15T00:00:00" maxDate="2026-06-16T00:00:00"/>
    </cacheField>
    <cacheField name="OC" numFmtId="0">
      <sharedItems containsSemiMixedTypes="0" containsString="0" containsNumber="1" containsInteger="1" minValue="20260501" maxValue="20260563" count="63">
        <n v="20260501"/>
        <n v="20260502"/>
        <n v="20260503"/>
        <n v="20260504"/>
        <n v="20260505"/>
        <n v="20260506"/>
        <n v="20260507"/>
        <n v="20260508"/>
        <n v="20260509"/>
        <n v="20260510"/>
        <n v="20260511"/>
        <n v="20260512"/>
        <n v="20260513"/>
        <n v="20260514"/>
        <n v="20260515"/>
        <n v="20260516"/>
        <n v="20260517"/>
        <n v="20260518"/>
        <n v="20260519"/>
        <n v="20260520"/>
        <n v="20260521"/>
        <n v="20260522"/>
        <n v="20260523"/>
        <n v="20260524"/>
        <n v="20260525"/>
        <n v="20260526"/>
        <n v="20260527"/>
        <n v="20260528"/>
        <n v="20260529"/>
        <n v="20260530"/>
        <n v="20260531"/>
        <n v="20260532"/>
        <n v="20260533"/>
        <n v="20260534"/>
        <n v="20260535"/>
        <n v="20260536"/>
        <n v="20260537"/>
        <n v="20260538"/>
        <n v="20260539"/>
        <n v="20260540"/>
        <n v="20260541"/>
        <n v="20260542"/>
        <n v="20260543"/>
        <n v="20260544"/>
        <n v="20260545"/>
        <n v="20260546"/>
        <n v="20260547"/>
        <n v="20260548"/>
        <n v="20260549"/>
        <n v="20260550"/>
        <n v="20260551"/>
        <n v="20260552"/>
        <n v="20260553"/>
        <n v="20260554"/>
        <n v="20260555"/>
        <n v="20260556"/>
        <n v="20260557"/>
        <n v="20260558"/>
        <n v="20260559"/>
        <n v="20260560"/>
        <n v="20260561"/>
        <n v="20260562"/>
        <n v="20260563"/>
      </sharedItems>
    </cacheField>
    <cacheField name="ADELANTOS" numFmtId="0">
      <sharedItems containsSemiMixedTypes="0" containsString="0" containsNumber="1" containsInteger="1" minValue="0" maxValue="0"/>
    </cacheField>
    <cacheField name="TOTAL_PERCIBIR" numFmtId="164">
      <sharedItems containsSemiMixedTypes="0" containsString="0" containsNumber="1" containsInteger="1" minValue="21187" maxValue="6424224"/>
    </cacheField>
    <cacheField name="NOMBRE_ARCHIVO_PDF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LA DEHESA"/>
    <s v="Suscripciones"/>
    <s v="LA DEHESA"/>
    <s v="AM.01"/>
    <s v="POR DIA DE FIN DE SEMANA"/>
    <s v="ANDRES FERNANDO MUÑOZ FUENTES"/>
    <s v="Reparto Fin de semana"/>
    <n v="32000"/>
    <n v="10"/>
    <m/>
    <n v="10"/>
    <n v="320000"/>
    <x v="0"/>
    <x v="0"/>
    <x v="0"/>
    <s v="BRUTO"/>
    <s v="RETENCION"/>
    <s v="LIQUIDO A PAGAR"/>
    <n v="320000"/>
    <n v="0.1525"/>
    <n v="48800"/>
    <n v="271200"/>
    <s v="DEPOSITO"/>
    <s v="ANDRES FERNANDO MUÑOZ FUENTES"/>
    <s v="10.513.948-9"/>
    <s v="FALABELLA"/>
    <s v="CUENTA VISTA"/>
    <n v="55560006443"/>
    <d v="2026-05-31T00:00:00"/>
    <s v="MAYO 2026"/>
    <d v="2026-06-15T00:00:00"/>
    <x v="0"/>
    <n v="0"/>
    <n v="271200"/>
    <s v="_Susc_BOL_ANDRES_MUNOZ.PDF"/>
  </r>
  <r>
    <s v="VITACURA"/>
    <s v="Suscripciones"/>
    <s v="VITACURA"/>
    <s v="BH.01"/>
    <s v="POR DIA DE FIN DE SEMANA"/>
    <s v="BENITO ALEX HERRERA PAVEZ "/>
    <s v="Reparto Fin de semana"/>
    <n v="31000"/>
    <n v="10"/>
    <n v="1"/>
    <n v="9"/>
    <n v="279000"/>
    <x v="1"/>
    <x v="1"/>
    <x v="0"/>
    <s v="BRUTO"/>
    <s v="RETENCION"/>
    <s v="LIQUIDO A PAGAR"/>
    <n v="279000"/>
    <n v="0.1525"/>
    <n v="42547.5"/>
    <n v="236452"/>
    <s v="DEPOSITO"/>
    <s v="BENITO ALEX HERRERA PAVEZ"/>
    <s v="6.697.321-2"/>
    <s v="BANCO BANCO CHILE"/>
    <s v="CUENTA VISTA"/>
    <n v="52222103"/>
    <d v="2026-05-31T00:00:00"/>
    <s v="MAYO 2026"/>
    <d v="2026-06-15T00:00:00"/>
    <x v="1"/>
    <n v="0"/>
    <n v="236452"/>
    <s v="_Susc_BOL_BENITO_HERRERA.PDF"/>
  </r>
  <r>
    <s v="VITACURA"/>
    <s v="Suscripciones"/>
    <s v="VITACURA"/>
    <s v="BH.02"/>
    <s v="POR DIA DE FIN DE SEMANA"/>
    <s v="BENITO ALEX HERRERA PAVEZ "/>
    <s v="Reparto Fin de semana"/>
    <n v="15000"/>
    <n v="10"/>
    <n v="1"/>
    <n v="9"/>
    <n v="135000"/>
    <x v="1"/>
    <x v="1"/>
    <x v="0"/>
    <s v="BRUTO"/>
    <s v="RETENCION"/>
    <s v="LIQUIDO A PAGAR"/>
    <n v="135000"/>
    <n v="0.1525"/>
    <n v="20587.5"/>
    <n v="114412"/>
    <s v="DEPOSITO"/>
    <s v="BENITO ALEX HERRERA PAVEZ"/>
    <s v="6.697.321-2"/>
    <s v="BANCO BANCO CHILE"/>
    <s v="CUENTA VISTA"/>
    <n v="52222103"/>
    <d v="2026-05-31T00:00:00"/>
    <s v="MAYO 2026"/>
    <d v="2026-06-15T00:00:00"/>
    <x v="1"/>
    <n v="0"/>
    <n v="114412"/>
    <s v="_Susc_BOL_BENITO_HERRERA.PDF"/>
  </r>
  <r>
    <s v="VITACURA"/>
    <s v="Suscripciones"/>
    <s v="VITACURA"/>
    <s v="BH.03"/>
    <s v="POR DIA DE FIN DE SEMANA"/>
    <s v="BENITO ALEX HERRERA PAVEZ "/>
    <s v="Reparto Fin de semana"/>
    <n v="14500"/>
    <n v="10"/>
    <n v="1"/>
    <n v="9"/>
    <n v="130500"/>
    <x v="1"/>
    <x v="1"/>
    <x v="0"/>
    <s v="BRUTO"/>
    <s v="RETENCION"/>
    <s v="LIQUIDO A PAGAR"/>
    <n v="130500"/>
    <n v="0.1525"/>
    <n v="19901.25"/>
    <n v="110598"/>
    <s v="DEPOSITO"/>
    <s v="BENITO ALEX HERRERA PAVEZ"/>
    <s v="6.697.321-2"/>
    <s v="BANCO BANCO CHILE"/>
    <s v="CUENTA VISTA"/>
    <n v="52222103"/>
    <d v="2026-05-31T00:00:00"/>
    <s v="MAYO 2026"/>
    <d v="2026-06-15T00:00:00"/>
    <x v="1"/>
    <n v="0"/>
    <n v="110598"/>
    <s v="_Susc_BOL_BENITO_HERRERA.PDF"/>
  </r>
  <r>
    <s v="ÑUÑOA"/>
    <s v="Suscripciones"/>
    <s v="ÑUÑOA"/>
    <s v="ÑU.06"/>
    <s v="POR DIA DE FIN DE SEMANA"/>
    <s v="ARIEL GREGORIO URZÚA GATICA"/>
    <s v="Reparto Fin de semana"/>
    <n v="24000"/>
    <n v="10"/>
    <m/>
    <n v="10"/>
    <n v="240000"/>
    <x v="2"/>
    <x v="2"/>
    <x v="0"/>
    <s v="BRUTO"/>
    <s v="RETENCION"/>
    <s v="LIQUIDO A PAGAR"/>
    <n v="240000"/>
    <n v="0.1525"/>
    <n v="36600"/>
    <n v="203400"/>
    <s v="DEPOSITO"/>
    <s v="BENJAMIN EMANUEL URZUA VEGA"/>
    <s v="21.367.783-7"/>
    <s v="BANCO BANCO ESTADO"/>
    <s v="CUENTA VISTA"/>
    <n v="21367783"/>
    <d v="2026-05-31T00:00:00"/>
    <s v="MAYO 2026"/>
    <d v="2026-06-15T00:00:00"/>
    <x v="2"/>
    <n v="0"/>
    <n v="203400"/>
    <s v="_Susc_BOL_ARIEL_URZUA.PDF"/>
  </r>
  <r>
    <s v="ÑUÑOA"/>
    <s v="Suscripciones"/>
    <s v="ÑUÑOA"/>
    <s v="ÑU.07"/>
    <s v="POR DIA DE FIN DE SEMANA"/>
    <s v="ARIEL GREGORIO URZÚA GATICA"/>
    <s v="Reparto Fin de semana"/>
    <n v="25000"/>
    <n v="10"/>
    <m/>
    <n v="10"/>
    <n v="250000"/>
    <x v="2"/>
    <x v="2"/>
    <x v="0"/>
    <s v="BRUTO"/>
    <s v="RETENCION"/>
    <s v="LIQUIDO A PAGAR"/>
    <n v="250000"/>
    <n v="0.1525"/>
    <n v="38125"/>
    <n v="211875"/>
    <s v="DEPOSITO"/>
    <s v="BENJAMIN EMANUEL URZUA VEGA"/>
    <s v="21.367.783-7"/>
    <s v="BANCO BANCO ESTADO"/>
    <s v="CUENTA VISTA"/>
    <n v="21367783"/>
    <d v="2026-05-31T00:00:00"/>
    <s v="MAYO 2026"/>
    <d v="2026-06-15T00:00:00"/>
    <x v="2"/>
    <n v="0"/>
    <n v="211875"/>
    <s v="_Susc_BOL_ARIEL_URZUA.PDF"/>
  </r>
  <r>
    <s v="GALES"/>
    <s v="Suscripciones"/>
    <s v="GALES"/>
    <s v="CS.GA.06"/>
    <s v="POR DIA DE FIN DE SEMANA"/>
    <s v="CARLOS TOMAS SORIANO MENDOZA"/>
    <s v="Reparto Fin de semana"/>
    <n v="45000"/>
    <n v="10"/>
    <m/>
    <n v="10"/>
    <n v="450000"/>
    <x v="3"/>
    <x v="3"/>
    <x v="1"/>
    <s v="NETO"/>
    <s v="IMPUESTO"/>
    <s v="TOTAL"/>
    <n v="450000"/>
    <n v="0.19"/>
    <n v="85500"/>
    <n v="535500"/>
    <s v="DEPOSITO"/>
    <s v="BRIGIDA SORAYA ARTEAGA CEDEÑO"/>
    <s v="25.271.323-9"/>
    <s v="BANCO BANCO ESTADO"/>
    <s v="CUENTA VISTA"/>
    <n v="252713239"/>
    <d v="2026-05-31T00:00:00"/>
    <s v="MAYO 2026"/>
    <d v="2026-06-15T00:00:00"/>
    <x v="3"/>
    <n v="0"/>
    <n v="535500"/>
    <s v="_Susc_FAC_BRIGIDA_ARTEAGA.PDF"/>
  </r>
  <r>
    <s v="GALES"/>
    <s v="Suscripciones"/>
    <s v="GALES"/>
    <s v="JS.GA.05"/>
    <s v="POR DIA DE FIN DE SEMANA"/>
    <s v="JOSUE SORIANO ARTEAGA"/>
    <s v="Reparto Fin de semana"/>
    <n v="13000"/>
    <n v="10"/>
    <m/>
    <n v="10"/>
    <n v="130000"/>
    <x v="3"/>
    <x v="3"/>
    <x v="1"/>
    <s v="NETO"/>
    <s v="IMPUESTO"/>
    <s v="TOTAL"/>
    <n v="130000"/>
    <n v="0.19"/>
    <n v="24700"/>
    <n v="154700"/>
    <s v="DEPOSITO"/>
    <s v="BRIGIDA SORAYA ARTEAGA CEDEÑO"/>
    <s v="25.271.323-9"/>
    <s v="BANCO BANCO ESTADO"/>
    <s v="CUENTA VISTA"/>
    <n v="252713239"/>
    <d v="2026-05-31T00:00:00"/>
    <s v="MAYO 2026"/>
    <d v="2026-06-15T00:00:00"/>
    <x v="3"/>
    <n v="0"/>
    <n v="154700"/>
    <s v="_Susc_FAC_BRIGIDA_ARTEAGA.PDF"/>
  </r>
  <r>
    <s v="PEÑALOLEN"/>
    <s v="Suscripciones"/>
    <s v="PEÑALOLEN"/>
    <s v="JS.PE.02"/>
    <s v="POR DIA DE FIN DE SEMANA"/>
    <s v="JOSUE SORIANO ARTEAGA"/>
    <s v="Reparto Fin de semana"/>
    <n v="13000"/>
    <n v="10"/>
    <m/>
    <n v="10"/>
    <n v="130000"/>
    <x v="3"/>
    <x v="3"/>
    <x v="1"/>
    <s v="NETO"/>
    <s v="IMPUESTO"/>
    <s v="TOTAL"/>
    <n v="130000"/>
    <n v="0.19"/>
    <n v="24700"/>
    <n v="154700"/>
    <s v="DEPOSITO"/>
    <s v="BRIGIDA SORAYA ARTEAGA CEDEÑO"/>
    <s v="25.271.323-9"/>
    <s v="BANCO BANCO ESTADO"/>
    <s v="CUENTA VISTA"/>
    <n v="252713239"/>
    <d v="2026-05-31T00:00:00"/>
    <s v="MAYO 2026"/>
    <d v="2026-06-15T00:00:00"/>
    <x v="3"/>
    <n v="0"/>
    <n v="154700"/>
    <s v="_Susc_FAC_BRIGIDA_ARTEAGA.PDF"/>
  </r>
  <r>
    <s v="PEÑALOLEN"/>
    <s v="Suscripciones"/>
    <s v="PEÑALOLEN"/>
    <s v="JS.PE.01"/>
    <s v="POR DIA DE FIN DE SEMANA"/>
    <s v="JOSUE SORIANO ARTEAGA"/>
    <s v="Reparto Fin de semana"/>
    <n v="13000"/>
    <n v="10"/>
    <m/>
    <n v="10"/>
    <n v="130000"/>
    <x v="3"/>
    <x v="3"/>
    <x v="1"/>
    <s v="NETO"/>
    <s v="IMPUESTO"/>
    <s v="TOTAL"/>
    <n v="130000"/>
    <n v="0.19"/>
    <n v="24700"/>
    <n v="154700"/>
    <s v="DEPOSITO"/>
    <s v="BRIGIDA SORAYA ARTEAGA CEDEÑO"/>
    <s v="25.271.323-9"/>
    <s v="BANCO BANCO ESTADO"/>
    <s v="CUENTA VISTA"/>
    <n v="252713239"/>
    <d v="2026-05-31T00:00:00"/>
    <s v="MAYO 2026"/>
    <d v="2026-06-15T00:00:00"/>
    <x v="3"/>
    <n v="0"/>
    <n v="154700"/>
    <s v="_Susc_FAC_BRIGIDA_ARTEAGA.PDF"/>
  </r>
  <r>
    <s v="PEÑALOLEN"/>
    <s v="Suscripciones"/>
    <s v="PEÑALOLEN"/>
    <s v="JS.PE.04"/>
    <s v="POR DIA DE FIN DE SEMANA"/>
    <s v="CARLOS TOMAS SORIANO MENDOZA (HIJO)"/>
    <s v="Reparto Fin de semana"/>
    <n v="13000"/>
    <n v="10"/>
    <m/>
    <n v="10"/>
    <n v="130000"/>
    <x v="3"/>
    <x v="3"/>
    <x v="1"/>
    <s v="NETO"/>
    <s v="IMPUESTO"/>
    <s v="TOTAL"/>
    <n v="130000"/>
    <n v="0.19"/>
    <n v="24700"/>
    <n v="154700"/>
    <s v="DEPOSITO"/>
    <s v="BRIGIDA SORAYA ARTEAGA CEDEÑO"/>
    <s v="25.271.323-9"/>
    <s v="BANCO BANCO ESTADO"/>
    <s v="CUENTA VISTA"/>
    <n v="252713239"/>
    <d v="2026-05-31T00:00:00"/>
    <s v="MAYO 2026"/>
    <d v="2026-06-15T00:00:00"/>
    <x v="3"/>
    <n v="0"/>
    <n v="154700"/>
    <s v="_Susc_FAC_BRIGIDA_ARTEAGA.PDF"/>
  </r>
  <r>
    <s v="LAS CONDES"/>
    <s v="Suscripciones"/>
    <s v="LAS CONDES"/>
    <s v="CB.LC.15, LC.17, LC.22"/>
    <s v="POR DIA DE FIN DE SEMANA"/>
    <s v="CECILIA ISABEL BURGOS CACERES"/>
    <s v="Reparto Fin de semana"/>
    <n v="63000"/>
    <n v="10"/>
    <m/>
    <n v="10"/>
    <n v="630000"/>
    <x v="4"/>
    <x v="4"/>
    <x v="1"/>
    <s v="NETO"/>
    <s v="IMPUESTO"/>
    <s v="TOTAL"/>
    <n v="630000"/>
    <n v="0.19"/>
    <n v="119700"/>
    <n v="749700"/>
    <s v="DEPOSITO"/>
    <s v="CECILIA ISABEL BURGOS CACERES"/>
    <s v="11.866.495-7"/>
    <s v="BANCO BANCO ESTADO"/>
    <s v="CUENTA VISTA"/>
    <n v="118664957"/>
    <d v="2026-05-31T00:00:00"/>
    <s v="MAYO 2026"/>
    <d v="2026-06-15T00:00:00"/>
    <x v="4"/>
    <n v="0"/>
    <n v="749700"/>
    <s v="_Susc_FAC_CECILIA_BURGOS.PDF"/>
  </r>
  <r>
    <s v="LA DEHESA"/>
    <s v="Suscripciones"/>
    <s v="LA DEHESA"/>
    <s v="ARRIENDO"/>
    <s v="FIJO MENSUAL"/>
    <s v="Mercedes Taboga"/>
    <s v="Arriendo Punto La Dehesa"/>
    <n v="50000"/>
    <n v="1"/>
    <m/>
    <n v="1"/>
    <n v="50000"/>
    <x v="5"/>
    <x v="5"/>
    <x v="2"/>
    <m/>
    <m/>
    <s v="TOTAL"/>
    <n v="50000"/>
    <n v="0"/>
    <n v="0"/>
    <n v="50000"/>
    <s v="DEPOSITO"/>
    <s v="COMUNIDAD CENTRO FINANCIERO LAS PATAGUAS"/>
    <s v="56.059.600-6"/>
    <s v="BANCO BANCO CHILE"/>
    <s v="CUENTA CORRIENTE"/>
    <n v="3090020404"/>
    <d v="2026-05-31T00:00:00"/>
    <s v="MAYO 2026"/>
    <d v="2026-06-15T00:00:00"/>
    <x v="5"/>
    <n v="0"/>
    <n v="50000"/>
    <s v="_Susc_FAC_ARRIENDO_LAS_PATAGUAS.PDF"/>
  </r>
  <r>
    <s v="LA DEHESA"/>
    <s v="Suscripciones"/>
    <s v="LA DEHESA"/>
    <s v="JP.01"/>
    <s v="POR DIA DE FIN DE SEMANA"/>
    <s v="JOHNY PEREZ"/>
    <s v="Reparto Fin de semana"/>
    <n v="37000"/>
    <n v="10"/>
    <m/>
    <n v="10"/>
    <n v="370000"/>
    <x v="6"/>
    <x v="6"/>
    <x v="1"/>
    <s v="NETO"/>
    <s v="IMPUESTO"/>
    <s v="TOTAL"/>
    <n v="370000"/>
    <n v="0.19"/>
    <n v="70300"/>
    <n v="440300"/>
    <s v="DEPOSITO"/>
    <s v="JOHNY PEREZ QUINTANA"/>
    <s v="76.416.897- 6"/>
    <s v="RIPLEY"/>
    <s v="CUENTA VISTA"/>
    <n v="4041817229"/>
    <d v="2026-05-31T00:00:00"/>
    <s v="MAYO 2026"/>
    <d v="2026-06-15T00:00:00"/>
    <x v="6"/>
    <n v="0"/>
    <n v="440300"/>
    <s v="_Susc_FAC_JOHNY_PEREZ.PDF"/>
  </r>
  <r>
    <s v="LA DEHESA"/>
    <s v="Suscripciones"/>
    <s v="LA DEHESA"/>
    <s v="VP.01"/>
    <s v="POR DIA DE FIN DE SEMANA"/>
    <s v="DISTRIBUIDORA VICTOR PEREZ SPA"/>
    <s v="Reparto Fin de semana"/>
    <n v="21000"/>
    <n v="10"/>
    <m/>
    <n v="10"/>
    <n v="210000"/>
    <x v="7"/>
    <x v="7"/>
    <x v="1"/>
    <s v="NETO"/>
    <s v="IMPUESTO"/>
    <s v="TOTAL"/>
    <n v="210000"/>
    <n v="0.19"/>
    <n v="39900"/>
    <n v="249900"/>
    <s v="DEPOSITO"/>
    <s v="VICTOR PEREZ HEREDIA"/>
    <s v="77.653.925-2"/>
    <s v="RIPLEY"/>
    <s v="CUENTA VISTA"/>
    <n v="4043368555"/>
    <d v="2026-05-31T00:00:00"/>
    <s v="MAYO 2026"/>
    <d v="2026-06-15T00:00:00"/>
    <x v="7"/>
    <n v="0"/>
    <n v="249900"/>
    <s v="_Susc_FAC_VICTOR_PEREZ.PDF"/>
  </r>
  <r>
    <s v="LA DEHESA"/>
    <s v="Suscripciones"/>
    <s v="LA DEHESA"/>
    <s v="VP.02"/>
    <s v="POR DIA DE FIN DE SEMANA"/>
    <s v="DISTRIBUIDORA VICTOR PEREZ SPA"/>
    <s v="Reparto Fin de semana"/>
    <n v="16000"/>
    <n v="10"/>
    <m/>
    <n v="10"/>
    <n v="160000"/>
    <x v="7"/>
    <x v="7"/>
    <x v="1"/>
    <s v="NETO"/>
    <s v="IMPUESTO"/>
    <s v="TOTAL"/>
    <n v="160000"/>
    <n v="0.19"/>
    <n v="30400"/>
    <n v="190400"/>
    <s v="DEPOSITO"/>
    <s v="VICTOR PEREZ HEREDIA"/>
    <s v="77.653.925-2"/>
    <s v="RIPLEY"/>
    <s v="CUENTA VISTA"/>
    <n v="4043368555"/>
    <d v="2026-05-31T00:00:00"/>
    <s v="MAYO 2026"/>
    <d v="2026-06-15T00:00:00"/>
    <x v="7"/>
    <n v="0"/>
    <n v="190400"/>
    <s v="_Susc_FAC_VICTOR_PEREZ.PDF"/>
  </r>
  <r>
    <s v="LA DEHESA"/>
    <s v="Suscripciones"/>
    <s v="LA DEHESA"/>
    <s v="VP.03"/>
    <s v="POR DIA DE FIN DE SEMANA"/>
    <s v="DISTRIBUIDORA VICTOR PEREZ SPA"/>
    <s v="Reparto Fin de semana"/>
    <n v="16000"/>
    <n v="10"/>
    <m/>
    <n v="10"/>
    <n v="160000"/>
    <x v="7"/>
    <x v="7"/>
    <x v="1"/>
    <s v="NETO"/>
    <s v="IMPUESTO"/>
    <s v="TOTAL"/>
    <n v="160000"/>
    <n v="0.19"/>
    <n v="30400"/>
    <n v="190400"/>
    <s v="DEPOSITO"/>
    <s v="VICTOR PEREZ HEREDIA"/>
    <s v="77.653.925-2"/>
    <s v="RIPLEY"/>
    <s v="CUENTA VISTA"/>
    <n v="4043368555"/>
    <d v="2026-05-31T00:00:00"/>
    <s v="MAYO 2026"/>
    <d v="2026-06-15T00:00:00"/>
    <x v="7"/>
    <n v="0"/>
    <n v="190400"/>
    <s v="_Susc_FAC_VICTOR_PEREZ.PDF"/>
  </r>
  <r>
    <s v="LA DEHESA"/>
    <s v="Suscripciones"/>
    <s v="LA DEHESA"/>
    <s v="VP.04"/>
    <s v="POR DIA DE FIN DE SEMANA"/>
    <s v="DISTRIBUIDORA VICTOR PEREZ SPA"/>
    <s v="Reparto Fin de semana"/>
    <n v="16000"/>
    <n v="10"/>
    <m/>
    <n v="10"/>
    <n v="160000"/>
    <x v="7"/>
    <x v="7"/>
    <x v="1"/>
    <s v="NETO"/>
    <s v="IMPUESTO"/>
    <s v="TOTAL"/>
    <n v="160000"/>
    <n v="0.19"/>
    <n v="30400"/>
    <n v="190400"/>
    <s v="DEPOSITO"/>
    <s v="VICTOR PEREZ HEREDIA"/>
    <s v="77.653.925-2"/>
    <s v="RIPLEY"/>
    <s v="CUENTA VISTA"/>
    <n v="4043368555"/>
    <d v="2026-05-31T00:00:00"/>
    <s v="MAYO 2026"/>
    <d v="2026-06-15T00:00:00"/>
    <x v="7"/>
    <n v="0"/>
    <n v="190400"/>
    <s v="_Susc_FAC_VICTOR_PEREZ.PDF"/>
  </r>
  <r>
    <s v="LA DEHESA"/>
    <s v="Suscripciones"/>
    <s v="LA DEHESA"/>
    <s v="VP.05"/>
    <s v="POR DIA DE FIN DE SEMANA"/>
    <s v="DISTRIBUIDORA VICTOR PEREZ SPA"/>
    <s v="Reparto Fin de semana"/>
    <n v="15000"/>
    <n v="10"/>
    <m/>
    <n v="10"/>
    <n v="150000"/>
    <x v="7"/>
    <x v="7"/>
    <x v="1"/>
    <s v="NETO"/>
    <s v="IMPUESTO"/>
    <s v="TOTAL"/>
    <n v="150000"/>
    <n v="0.19"/>
    <n v="28500"/>
    <n v="178500"/>
    <s v="DEPOSITO"/>
    <s v="VICTOR PEREZ HEREDIA"/>
    <s v="77.653.925-2"/>
    <s v="RIPLEY"/>
    <s v="CUENTA VISTA"/>
    <n v="4043368555"/>
    <d v="2026-05-31T00:00:00"/>
    <s v="MAYO 2026"/>
    <d v="2026-06-15T00:00:00"/>
    <x v="7"/>
    <n v="0"/>
    <n v="178500"/>
    <s v="_Susc_FAC_VICTOR_PEREZ.PDF"/>
  </r>
  <r>
    <s v="LA DEHESA"/>
    <s v="Adicional - Reposiciones"/>
    <s v="LA DEHESA"/>
    <s v="REPOSICIONES"/>
    <s v="POR DIA DE FIN DE SEMANA"/>
    <s v="DISTRIBUIDORA VICTOR PEREZ SPA"/>
    <s v="Reposiciones"/>
    <n v="25000"/>
    <n v="10"/>
    <m/>
    <n v="10"/>
    <n v="250000"/>
    <x v="7"/>
    <x v="7"/>
    <x v="1"/>
    <s v="NETO"/>
    <s v="IMPUESTO"/>
    <s v="TOTAL"/>
    <n v="250000"/>
    <n v="0.19"/>
    <n v="47500"/>
    <n v="297500"/>
    <s v="DEPOSITO"/>
    <s v="VICTOR PEREZ HEREDIA"/>
    <s v="77.653.925-2"/>
    <s v="RIPLEY"/>
    <s v="CUENTA VISTA"/>
    <n v="4043368555"/>
    <d v="2026-05-31T00:00:00"/>
    <s v="MAYO 2026"/>
    <d v="2026-06-15T00:00:00"/>
    <x v="7"/>
    <n v="0"/>
    <n v="297500"/>
    <s v="_Susc_FAC_VICTOR_PEREZ.PDF"/>
  </r>
  <r>
    <s v="LA DEHESA"/>
    <s v="OPV"/>
    <s v="LA DEHESA"/>
    <s v="OPV"/>
    <s v="SEGÚN PUNTOS DE ENTREGA DIARIOS"/>
    <s v="DISTRIBUIDORA VICTOR PEREZ SPA"/>
    <s v="OPV"/>
    <n v="2500"/>
    <n v="60"/>
    <m/>
    <n v="60"/>
    <n v="150000"/>
    <x v="7"/>
    <x v="7"/>
    <x v="1"/>
    <s v="NETO"/>
    <s v="IMPUESTO"/>
    <s v="TOTAL"/>
    <n v="150000"/>
    <n v="0.19"/>
    <n v="28500"/>
    <n v="178500"/>
    <s v="DEPOSITO"/>
    <s v="VICTOR PEREZ HEREDIA"/>
    <s v="77.653.925-2"/>
    <s v="RIPLEY"/>
    <s v="CUENTA VISTA"/>
    <n v="4043368555"/>
    <d v="2026-05-31T00:00:00"/>
    <s v="MAYO 2026"/>
    <d v="2026-06-15T00:00:00"/>
    <x v="7"/>
    <n v="0"/>
    <n v="178500"/>
    <s v="_Susc_FAC_VICTOR_PEREZ.PDF"/>
  </r>
  <r>
    <s v="LA DEHESA"/>
    <s v="Suscripciones"/>
    <s v="LA DEHESA"/>
    <s v="JM.01"/>
    <s v="POR DIA DE FIN DE SEMANA"/>
    <s v="JOSE FRANCISCO MARTINEZ MACHADO"/>
    <s v="Reparto Fin de semana"/>
    <n v="22000"/>
    <n v="10"/>
    <m/>
    <n v="10"/>
    <n v="220000"/>
    <x v="8"/>
    <x v="8"/>
    <x v="1"/>
    <s v="NETO"/>
    <s v="IMPUESTO"/>
    <s v="TOTAL"/>
    <n v="220000"/>
    <n v="0.19"/>
    <n v="41800"/>
    <n v="261800"/>
    <s v="DEPOSITO"/>
    <s v="DS GROUP SPA"/>
    <s v="77.201.525-9 LD2"/>
    <s v="BCI"/>
    <s v="CUENTA CORRIENTE"/>
    <n v="70922179"/>
    <d v="2026-05-31T00:00:00"/>
    <s v="MAYO 2026"/>
    <d v="2026-06-15T00:00:00"/>
    <x v="8"/>
    <n v="0"/>
    <n v="261800"/>
    <s v="_Susc_FAC_DSG_FRANCISCO_MARTINEZ.PDF"/>
  </r>
  <r>
    <s v="LA DEHESA"/>
    <s v="Suscripciones"/>
    <s v="LA DEHESA"/>
    <s v="JM.AC"/>
    <s v="FIJO MENSUAL"/>
    <s v="JOSE FRANCISCO MARTINEZ MACHADO"/>
    <s v="Adicional reparto Cerro"/>
    <n v="65000"/>
    <n v="1"/>
    <m/>
    <n v="1"/>
    <n v="65000"/>
    <x v="8"/>
    <x v="8"/>
    <x v="1"/>
    <s v="NETO"/>
    <s v="IMPUESTO"/>
    <s v="TOTAL"/>
    <n v="65000"/>
    <n v="0.19"/>
    <n v="12350"/>
    <n v="77350"/>
    <s v="DEPOSITO"/>
    <s v="DS GROUP SPA"/>
    <s v="77.201.525-9 LD2"/>
    <s v="BCI"/>
    <s v="CUENTA CORRIENTE"/>
    <n v="70922179"/>
    <d v="2026-05-31T00:00:00"/>
    <s v="MAYO 2026"/>
    <d v="2026-06-15T00:00:00"/>
    <x v="8"/>
    <n v="0"/>
    <n v="77350"/>
    <s v="_Susc_FAC_DSG_FRANCISCO_MARTINEZ.PDF"/>
  </r>
  <r>
    <s v="ÑUÑOA"/>
    <s v="Suscripciones"/>
    <s v="ÑUÑOA"/>
    <s v="ÑU.03"/>
    <s v="POR DIA DE FIN DE SEMANA"/>
    <s v="EDUARDO EUGENIO RUBILAR DIAZ"/>
    <s v="Reparto Fin de semana"/>
    <n v="25000"/>
    <n v="10"/>
    <m/>
    <n v="10"/>
    <n v="250000"/>
    <x v="9"/>
    <x v="9"/>
    <x v="0"/>
    <s v="BRUTO"/>
    <s v="RETENCION"/>
    <s v="LIQUIDO A PAGAR"/>
    <n v="250000"/>
    <n v="0.1525"/>
    <n v="38125"/>
    <n v="211875"/>
    <s v="DEPOSITO"/>
    <s v="EDUARDO EUGENIO RUBILAR DIAZ"/>
    <s v="9.385.475-6"/>
    <s v="BANCO BANCO ESTADO"/>
    <s v="CUENTA VISTA"/>
    <n v="9385475"/>
    <d v="2026-05-31T00:00:00"/>
    <s v="MAYO 2026"/>
    <d v="2026-06-15T00:00:00"/>
    <x v="9"/>
    <n v="0"/>
    <n v="211875"/>
    <s v="_Susc_BOL_EDUARDO_RUBILAR.PDF"/>
  </r>
  <r>
    <s v="ÑUÑOA"/>
    <s v="Suscripciones"/>
    <s v="ÑUÑOA"/>
    <s v="ÑU.02"/>
    <s v="POR DIA DE FIN DE SEMANA"/>
    <s v="EDUARDO EUGENIO RUBILAR DIAZ"/>
    <s v="Reparto Fin de semana"/>
    <n v="21000"/>
    <n v="10"/>
    <m/>
    <n v="10"/>
    <n v="210000"/>
    <x v="9"/>
    <x v="9"/>
    <x v="0"/>
    <s v="BRUTO"/>
    <s v="RETENCION"/>
    <s v="LIQUIDO A PAGAR"/>
    <n v="210000"/>
    <n v="0.1525"/>
    <n v="32025"/>
    <n v="177975"/>
    <s v="DEPOSITO"/>
    <s v="EDUARDO EUGENIO RUBILAR DIAZ"/>
    <s v="9.385.475-6"/>
    <s v="BANCO BANCO ESTADO"/>
    <s v="CUENTA VISTA"/>
    <n v="9385475"/>
    <d v="2026-05-31T00:00:00"/>
    <s v="MAYO 2026"/>
    <d v="2026-06-15T00:00:00"/>
    <x v="9"/>
    <n v="0"/>
    <n v="177975"/>
    <s v="_Susc_BOL_EDUARDO_RUBILAR.PDF"/>
  </r>
  <r>
    <s v="ÑUÑOA"/>
    <s v="Suscripciones"/>
    <s v="ÑUÑOA"/>
    <s v="ÑU.10"/>
    <s v="POR DIA DE FIN DE SEMANA"/>
    <s v="EDUARDO EUGENIO RUBILAR DIAZ"/>
    <s v="Reparto Fin de semana"/>
    <n v="28000"/>
    <n v="10"/>
    <m/>
    <n v="10"/>
    <n v="280000"/>
    <x v="9"/>
    <x v="9"/>
    <x v="0"/>
    <s v="BRUTO"/>
    <s v="RETENCION"/>
    <s v="LIQUIDO A PAGAR"/>
    <n v="280000"/>
    <n v="0.1525"/>
    <n v="42700"/>
    <n v="237300"/>
    <s v="DEPOSITO"/>
    <s v="EDUARDO EUGENIO RUBILAR DIAZ"/>
    <s v="9.385.475-6"/>
    <s v="BANCO BANCO ESTADO"/>
    <s v="CUENTA VISTA"/>
    <n v="9385475"/>
    <d v="2026-05-31T00:00:00"/>
    <s v="MAYO 2026"/>
    <d v="2026-06-15T00:00:00"/>
    <x v="9"/>
    <n v="0"/>
    <n v="237300"/>
    <s v="_Susc_BOL_EDUARDO_RUBILAR.PDF"/>
  </r>
  <r>
    <s v="ÑUÑOA"/>
    <s v="Suscripciones"/>
    <s v="ÑUÑOA"/>
    <s v="OPV"/>
    <s v="SEGÚN PUNTOS DE ENTREGA DIARIOS"/>
    <s v="EDUARDO EUGENIO RUBILAR DIAZ"/>
    <s v="OPV"/>
    <n v="2500"/>
    <n v="10"/>
    <m/>
    <n v="10"/>
    <n v="25000"/>
    <x v="9"/>
    <x v="9"/>
    <x v="0"/>
    <s v="BRUTO"/>
    <s v="RETENCION"/>
    <s v="LIQUIDO A PAGAR"/>
    <n v="25000"/>
    <n v="0.1525"/>
    <n v="3812.5"/>
    <n v="21187"/>
    <s v="DEPOSITO"/>
    <s v="EDUARDO EUGENIO RUBILAR DIAZ"/>
    <s v="9.385.475-6"/>
    <s v="BANCO BANCO ESTADO"/>
    <s v="CUENTA VISTA"/>
    <n v="9385475"/>
    <d v="2026-05-31T00:00:00"/>
    <s v="MAYO 2026"/>
    <d v="2026-06-15T00:00:00"/>
    <x v="9"/>
    <n v="0"/>
    <n v="21187"/>
    <s v="_Susc_BOL_EDUARDO_RUBILAR.PDF"/>
  </r>
  <r>
    <s v="VITACURA"/>
    <s v="Suscripciones"/>
    <s v="VITACURA"/>
    <s v="EM.01"/>
    <s v="POR DIA DE FIN DE SEMANA"/>
    <s v="ELISA SOFIA MATELUNA GANGA"/>
    <s v="Reparto Fin de semana"/>
    <n v="45500"/>
    <n v="10"/>
    <m/>
    <n v="10"/>
    <n v="455000"/>
    <x v="10"/>
    <x v="10"/>
    <x v="1"/>
    <s v="NETO"/>
    <s v="IMPUESTO"/>
    <s v="TOTAL"/>
    <n v="455000"/>
    <n v="0.19"/>
    <n v="86450"/>
    <n v="541450"/>
    <s v="DEPOSITO"/>
    <s v="ELISA SOFIA MATELUNA GANGA"/>
    <s v="12.494.761-8"/>
    <s v="BANCO BANCO ESTADO"/>
    <s v="CUENTA VISTA"/>
    <n v="124947618"/>
    <d v="2026-05-31T00:00:00"/>
    <s v="MAYO 2026"/>
    <d v="2026-06-15T00:00:00"/>
    <x v="10"/>
    <n v="0"/>
    <n v="541450"/>
    <s v="_Susc_FAC_ELISA_MATELUNA.PDF"/>
  </r>
  <r>
    <s v="LAS CONDES"/>
    <s v="Suscripciones"/>
    <s v="LAS CONDES"/>
    <s v="LC.13"/>
    <s v="POR DIA DE FIN DE SEMANA"/>
    <s v="ERIK WILLY HERWITTE VARGAS"/>
    <s v="Reparto Fin de semana"/>
    <n v="48000"/>
    <n v="10"/>
    <m/>
    <n v="10"/>
    <n v="480000"/>
    <x v="11"/>
    <x v="11"/>
    <x v="1"/>
    <s v="NETO"/>
    <s v="IMPUESTO"/>
    <s v="TOTAL"/>
    <n v="480000"/>
    <n v="0.19"/>
    <n v="91200"/>
    <n v="571200"/>
    <s v="DEPOSITO"/>
    <s v="ERIK WILLY HERWITTE VARGAS"/>
    <s v="16.681.299-2"/>
    <s v="BANCO BANCO ESTADO"/>
    <s v="CUENTA VISTA"/>
    <n v="16681299"/>
    <d v="2026-05-31T00:00:00"/>
    <s v="MAYO 2026"/>
    <d v="2026-06-15T00:00:00"/>
    <x v="11"/>
    <n v="0"/>
    <n v="571200"/>
    <s v="_Susc_FAC_ERIK_HERWITTE.PDF"/>
  </r>
  <r>
    <s v="LAS CONDES"/>
    <s v="Suscripciones"/>
    <s v="LAS CONDES"/>
    <s v="FO.LC.27"/>
    <s v="POR DIA DE FIN DE SEMANA"/>
    <s v="FLOR MARIA OSSES DIAZ"/>
    <s v="Reparto Fin de semana"/>
    <n v="60000"/>
    <n v="10"/>
    <m/>
    <n v="10"/>
    <n v="600000"/>
    <x v="12"/>
    <x v="12"/>
    <x v="1"/>
    <s v="NETO"/>
    <s v="IMPUESTO"/>
    <s v="TOTAL"/>
    <n v="600000"/>
    <n v="0.19"/>
    <n v="114000"/>
    <n v="714000"/>
    <s v="DEPOSITO"/>
    <s v="IGNACIO ANDRES CACERES OSSES"/>
    <s v="20.002.826-0"/>
    <s v="BANCO BANCO ESTADO"/>
    <s v="CUENTA VISTA"/>
    <n v="200028260"/>
    <d v="2026-05-31T00:00:00"/>
    <s v="MAYO 2026"/>
    <d v="2026-06-15T00:00:00"/>
    <x v="12"/>
    <n v="0"/>
    <n v="714000"/>
    <s v="_Susc_FAC_IGNACIO_CACERES.PDF"/>
  </r>
  <r>
    <s v="LAS CONDES"/>
    <s v="Suscripciones"/>
    <s v="LAS CONDES"/>
    <s v="RC.TRASLADO TAPA"/>
    <s v="POR DIA DE FIN DE SEMANA"/>
    <s v="RENE CACERES"/>
    <s v="Transporte Tapa a Punto SD"/>
    <n v="35000"/>
    <n v="10"/>
    <n v="0"/>
    <n v="10"/>
    <n v="350000"/>
    <x v="12"/>
    <x v="12"/>
    <x v="1"/>
    <s v="NETO"/>
    <s v="IMPUESTO"/>
    <s v="TOTAL"/>
    <n v="350000"/>
    <n v="0.19"/>
    <n v="66500"/>
    <n v="416500"/>
    <s v="DEPOSITO"/>
    <s v="IGNACIO ANDRES CACERES OSSES"/>
    <s v="20.002.826-0"/>
    <s v="BANCO BANCO ESTADO"/>
    <s v="CUENTA VISTA"/>
    <n v="200028260"/>
    <d v="2026-05-31T00:00:00"/>
    <s v="MAYO 2026"/>
    <d v="2026-06-15T00:00:00"/>
    <x v="12"/>
    <n v="0"/>
    <n v="416500"/>
    <s v="_Susc_FAC_IGNACIO_CACERES.PDF"/>
  </r>
  <r>
    <s v="LAS CONDES"/>
    <s v="Suscripciones"/>
    <s v="LAS CONDES"/>
    <s v="IC.LC.28"/>
    <s v="POR DIA DE FIN DE SEMANA"/>
    <s v="IGNACIO ANDRES CACERES OSSES"/>
    <s v="Reparto Fin de semana"/>
    <n v="23000"/>
    <n v="10"/>
    <m/>
    <n v="10"/>
    <n v="230000"/>
    <x v="12"/>
    <x v="12"/>
    <x v="1"/>
    <s v="NETO"/>
    <s v="IMPUESTO"/>
    <s v="TOTAL"/>
    <n v="230000"/>
    <n v="0.19"/>
    <n v="43700"/>
    <n v="273700"/>
    <s v="DEPOSITO"/>
    <s v="IGNACIO ANDRES CACERES OSSES"/>
    <s v="20.002.826-0"/>
    <s v="BANCO BANCO ESTADO"/>
    <s v="CUENTA VISTA"/>
    <n v="200028260"/>
    <d v="2026-05-31T00:00:00"/>
    <s v="MAYO 2026"/>
    <d v="2026-06-15T00:00:00"/>
    <x v="12"/>
    <n v="0"/>
    <n v="273700"/>
    <s v="_Susc_FAC_IGNACIO_CACERES.PDF"/>
  </r>
  <r>
    <s v="ÑUÑOA"/>
    <s v="Suscripciones"/>
    <s v="ÑUÑOA"/>
    <s v="MONITOR"/>
    <s v="POR DIA DE FIN DE SEMANA"/>
    <s v="FRANCISCO MANUEL MEJIAS MUÑOZ"/>
    <s v="Monitoria Fin de Semana"/>
    <n v="30000"/>
    <n v="10"/>
    <m/>
    <n v="10"/>
    <n v="300000"/>
    <x v="13"/>
    <x v="13"/>
    <x v="0"/>
    <s v="BRUTO"/>
    <s v="RETENCION"/>
    <s v="LIQUIDO A PAGAR"/>
    <n v="300000"/>
    <n v="0.1525"/>
    <n v="45750"/>
    <n v="254250"/>
    <s v="DEPOSITO"/>
    <s v="FRANCISCO MANUEL MEJIAS MUÑOZ"/>
    <s v="12.894.455-9"/>
    <s v="BCI"/>
    <s v="CUENTA VISTA"/>
    <n v="16365399"/>
    <d v="2026-05-31T00:00:00"/>
    <s v="MAYO 2026"/>
    <d v="2026-06-15T00:00:00"/>
    <x v="13"/>
    <n v="0"/>
    <n v="254250"/>
    <s v="_Susc_BOL_FRANCISCO_MEJIAS.PDF"/>
  </r>
  <r>
    <s v="ÑUÑOA"/>
    <s v="Suscripciones"/>
    <s v="ÑUÑOA"/>
    <s v="ÑU.09"/>
    <s v="POR DIA DE FIN DE SEMANA"/>
    <s v="FRANCISCO MANUEL MEJIAS MUÑOZ"/>
    <s v="Reparto Fin de semana"/>
    <n v="25000"/>
    <n v="10"/>
    <m/>
    <n v="10"/>
    <n v="250000"/>
    <x v="13"/>
    <x v="13"/>
    <x v="0"/>
    <s v="BRUTO"/>
    <s v="RETENCION"/>
    <s v="LIQUIDO A PAGAR"/>
    <n v="250000"/>
    <n v="0.1525"/>
    <n v="38125"/>
    <n v="211875"/>
    <s v="DEPOSITO"/>
    <s v="FRANCISCO MANUEL MEJIAS MUÑOZ"/>
    <s v="12.894.455-9"/>
    <s v="BCI"/>
    <s v="CUENTA VISTA"/>
    <n v="16365399"/>
    <d v="2026-05-31T00:00:00"/>
    <s v="MAYO 2026"/>
    <d v="2026-06-15T00:00:00"/>
    <x v="13"/>
    <n v="0"/>
    <n v="211875"/>
    <s v="_Susc_BOL_FRANCISCO_MEJIAS.PDF"/>
  </r>
  <r>
    <s v="ÑUÑOA"/>
    <s v="Suscripciones"/>
    <s v="ÑUÑOA"/>
    <s v="ÑU.08"/>
    <s v="POR DIA DE FIN DE SEMANA"/>
    <s v="FRANCISCO MANUEL MEJIAS MUÑOZ"/>
    <s v="Reparto Fin de semana"/>
    <n v="25000"/>
    <n v="10"/>
    <m/>
    <n v="10"/>
    <n v="250000"/>
    <x v="13"/>
    <x v="13"/>
    <x v="0"/>
    <s v="BRUTO"/>
    <s v="RETENCION"/>
    <s v="LIQUIDO A PAGAR"/>
    <n v="250000"/>
    <n v="0.1525"/>
    <n v="38125"/>
    <n v="211875"/>
    <s v="DEPOSITO"/>
    <s v="FRANCISCO MANUEL MEJIAS MUÑOZ"/>
    <s v="12.894.455-9"/>
    <s v="BCI"/>
    <s v="CUENTA VISTA"/>
    <n v="16365399"/>
    <d v="2026-05-31T00:00:00"/>
    <s v="MAYO 2026"/>
    <d v="2026-06-15T00:00:00"/>
    <x v="13"/>
    <n v="0"/>
    <n v="211875"/>
    <s v="_Susc_BOL_FRANCISCO_MEJIAS.PDF"/>
  </r>
  <r>
    <s v="GALES"/>
    <s v="Suscripciones"/>
    <s v="GALES"/>
    <s v="GA.03"/>
    <s v="POR DIA DE FIN DE SEMANA"/>
    <s v="GERSON SALAZAR CHAVEZ"/>
    <s v="Reparto Fin de semana"/>
    <n v="12000"/>
    <n v="10"/>
    <m/>
    <n v="10"/>
    <n v="120000"/>
    <x v="14"/>
    <x v="14"/>
    <x v="0"/>
    <s v="BRUTO"/>
    <s v="RETENCION"/>
    <s v="LIQUIDO A PAGAR"/>
    <n v="120000"/>
    <n v="0.1525"/>
    <n v="18300"/>
    <n v="101700"/>
    <s v="DEPOSITO"/>
    <s v="GERSON SALAZAR CHAVEZ"/>
    <s v="14.709.280-6"/>
    <s v="BANCO BANCO ESTADO"/>
    <s v="CUENTA VISTA"/>
    <n v="14709280"/>
    <d v="2026-05-31T00:00:00"/>
    <s v="MAYO 2026"/>
    <d v="2026-06-15T00:00:00"/>
    <x v="14"/>
    <n v="0"/>
    <n v="101700"/>
    <s v="_Susc_BOL_GERSON_SALAZAR.PDF"/>
  </r>
  <r>
    <s v="GALES"/>
    <s v="Suscripciones"/>
    <s v="GALES"/>
    <s v="GA.04"/>
    <s v="POR DIA DE FIN DE SEMANA"/>
    <s v="GERSON SALAZAR CHAVEZ"/>
    <s v="Reparto Fin de semana"/>
    <n v="25000"/>
    <n v="10"/>
    <m/>
    <n v="10"/>
    <n v="250000"/>
    <x v="14"/>
    <x v="14"/>
    <x v="0"/>
    <s v="BRUTO"/>
    <s v="RETENCION"/>
    <s v="LIQUIDO A PAGAR"/>
    <n v="250000"/>
    <n v="0.1525"/>
    <n v="38125"/>
    <n v="211875"/>
    <s v="DEPOSITO"/>
    <s v="GERSON SALAZAR CHAVEZ"/>
    <s v="14.709.280-6"/>
    <s v="BANCO BANCO ESTADO"/>
    <s v="CUENTA VISTA"/>
    <n v="14709280"/>
    <d v="2026-05-31T00:00:00"/>
    <s v="MAYO 2026"/>
    <d v="2026-06-15T00:00:00"/>
    <x v="14"/>
    <n v="0"/>
    <n v="211875"/>
    <s v="_Susc_BOL_GERSON_SALAZAR.PDF"/>
  </r>
  <r>
    <s v="GALES"/>
    <s v="OPV"/>
    <s v="GALES"/>
    <s v="GA.OPV"/>
    <s v="SEGÚN PUNTOS DE ENTREGA DIARIOS"/>
    <s v="GERSON SALAZAR CHAVEZ"/>
    <s v="OPV"/>
    <n v="2500"/>
    <n v="10"/>
    <m/>
    <n v="10"/>
    <n v="25000"/>
    <x v="14"/>
    <x v="14"/>
    <x v="0"/>
    <s v="BRUTO"/>
    <s v="RETENCION"/>
    <s v="LIQUIDO A PAGAR"/>
    <n v="25000"/>
    <n v="0.1525"/>
    <n v="3812.5"/>
    <n v="21187"/>
    <s v="DEPOSITO"/>
    <s v="GERSON SALAZAR CHAVEZ"/>
    <s v="14.709.280-6"/>
    <s v="BANCO BANCO ESTADO"/>
    <s v="CUENTA VISTA"/>
    <n v="14709280"/>
    <d v="2026-05-31T00:00:00"/>
    <s v="MAYO 2026"/>
    <d v="2026-06-15T00:00:00"/>
    <x v="14"/>
    <n v="0"/>
    <n v="21187"/>
    <s v="_Susc_BOL_GERSON_SALAZAR.PDF"/>
  </r>
  <r>
    <s v="PEÑALOLEN"/>
    <s v="Suscripciones"/>
    <s v="PEÑALOLEN"/>
    <s v="PE.05"/>
    <s v="POR DIA DE FIN DE SEMANA"/>
    <s v="GERSON SALAZAR CHAVEZ"/>
    <s v="Reparto Fin de semana"/>
    <n v="15000"/>
    <n v="10"/>
    <m/>
    <n v="10"/>
    <n v="150000"/>
    <x v="14"/>
    <x v="14"/>
    <x v="0"/>
    <s v="BRUTO"/>
    <s v="RETENCION"/>
    <s v="LIQUIDO A PAGAR"/>
    <n v="150000"/>
    <n v="0.1525"/>
    <n v="22875"/>
    <n v="127125"/>
    <s v="DEPOSITO"/>
    <s v="GERSON SALAZAR CHAVEZ"/>
    <s v="14.709.280-6"/>
    <s v="BANCO BANCO ESTADO"/>
    <s v="CUENTA VISTA"/>
    <n v="14709280"/>
    <d v="2026-05-31T00:00:00"/>
    <s v="MAYO 2026"/>
    <d v="2026-06-15T00:00:00"/>
    <x v="14"/>
    <n v="0"/>
    <n v="127125"/>
    <s v="_Susc_BOL_GERSON_SALAZAR.PDF"/>
  </r>
  <r>
    <s v="PEÑALOLEN"/>
    <s v="Suscripciones"/>
    <s v="PEÑALOLEN"/>
    <s v="PE.07"/>
    <s v="POR DIA DE FIN DE SEMANA"/>
    <s v="HERNAN RUPERTO MALDONADO PAIRICAN"/>
    <s v="Reparto Fin de semana"/>
    <n v="20000"/>
    <n v="10"/>
    <m/>
    <n v="10"/>
    <n v="200000"/>
    <x v="15"/>
    <x v="15"/>
    <x v="0"/>
    <s v="BRUTO"/>
    <s v="RETENCION"/>
    <s v="LIQUIDO A PAGAR"/>
    <n v="200000"/>
    <n v="0.1525"/>
    <n v="30500"/>
    <n v="169500"/>
    <s v="DEPOSITO"/>
    <s v="HERNAN RUPERTO MALDONADO PAIRICAN"/>
    <s v="9.511.293-5"/>
    <s v="BANCO BANCO ESTADO"/>
    <s v="CUENTA CORRIENTE"/>
    <n v="31400009590"/>
    <d v="2026-05-31T00:00:00"/>
    <s v="MAYO 2026"/>
    <d v="2026-06-15T00:00:00"/>
    <x v="15"/>
    <n v="0"/>
    <n v="169500"/>
    <s v="_Susc_BOL_HERNAN_MALDONADO.PDF"/>
  </r>
  <r>
    <s v="LAS CONDES"/>
    <s v="Suscripciones"/>
    <s v="LAS CONDES"/>
    <s v="LC.02"/>
    <s v="POR DIA DE FIN DE SEMANA"/>
    <s v="JEIMMY JANINE PLAZA MARTINEZ"/>
    <s v="Reparto Fin de semana"/>
    <n v="21000"/>
    <n v="10"/>
    <m/>
    <n v="10"/>
    <n v="210000"/>
    <x v="16"/>
    <x v="16"/>
    <x v="1"/>
    <s v="NETO"/>
    <s v="IMPUESTO"/>
    <s v="TOTAL"/>
    <n v="210000"/>
    <n v="0.19"/>
    <n v="39900"/>
    <n v="249900"/>
    <s v="DEPOSITO"/>
    <s v="JEIMMY JANINE PLAZA MARTINEZ"/>
    <s v="17.279.635-4"/>
    <s v="FALABELLA"/>
    <s v="CUENTA CORRIENTE"/>
    <n v="15040256940"/>
    <d v="2026-05-31T00:00:00"/>
    <s v="MAYO 2026"/>
    <d v="2026-06-15T00:00:00"/>
    <x v="16"/>
    <n v="0"/>
    <n v="249900"/>
    <s v="_Susc_FAC_JEIMMY_PLAZA.PDF"/>
  </r>
  <r>
    <s v="LAS CONDES"/>
    <s v="Suscripciones"/>
    <s v="LAS CONDES"/>
    <s v="LC.04"/>
    <s v="POR DIA DE FIN DE SEMANA"/>
    <s v="JEIMMY JANINE PLAZA MARTINEZ"/>
    <s v="Reparto Fin de semana"/>
    <n v="20000"/>
    <n v="10"/>
    <m/>
    <n v="10"/>
    <n v="200000"/>
    <x v="16"/>
    <x v="16"/>
    <x v="1"/>
    <s v="NETO"/>
    <s v="IMPUESTO"/>
    <s v="TOTAL"/>
    <n v="200000"/>
    <n v="0.19"/>
    <n v="38000"/>
    <n v="238000"/>
    <s v="DEPOSITO"/>
    <s v="JEIMMY JANINE PLAZA MARTINEZ"/>
    <s v="17.279.635-4"/>
    <s v="FALABELLA"/>
    <s v="CUENTA CORRIENTE"/>
    <n v="15040256940"/>
    <d v="2026-05-31T00:00:00"/>
    <s v="MAYO 2026"/>
    <d v="2026-06-15T00:00:00"/>
    <x v="16"/>
    <n v="0"/>
    <n v="238000"/>
    <s v="_Susc_FAC_JEIMMY_PLAZA.PDF"/>
  </r>
  <r>
    <s v="LAS CONDES"/>
    <s v="Suscripciones"/>
    <s v="LAS CONDES"/>
    <s v="LC.07"/>
    <s v="POR DIA DE FIN DE SEMANA"/>
    <s v="JEIMMY JANINE PLAZA MARTINEZ"/>
    <s v="Reparto Fin de semana"/>
    <n v="20000"/>
    <n v="10"/>
    <m/>
    <n v="10"/>
    <n v="200000"/>
    <x v="16"/>
    <x v="16"/>
    <x v="1"/>
    <s v="NETO"/>
    <s v="IMPUESTO"/>
    <s v="TOTAL"/>
    <n v="200000"/>
    <n v="0.19"/>
    <n v="38000"/>
    <n v="238000"/>
    <s v="DEPOSITO"/>
    <s v="JEIMMY JANINE PLAZA MARTINEZ"/>
    <s v="17.279.635-4"/>
    <s v="FALABELLA"/>
    <s v="CUENTA CORRIENTE"/>
    <n v="15040256940"/>
    <d v="2026-05-31T00:00:00"/>
    <s v="MAYO 2026"/>
    <d v="2026-06-15T00:00:00"/>
    <x v="16"/>
    <n v="0"/>
    <n v="238000"/>
    <s v="_Susc_FAC_JEIMMY_PLAZA.PDF"/>
  </r>
  <r>
    <s v="LAS CONDES"/>
    <s v="Suscripciones"/>
    <s v="LAS CONDES"/>
    <s v="LC.12"/>
    <s v="POR DIA DE FIN DE SEMANA"/>
    <s v="JEIMMY JANINE PLAZA MARTINEZ"/>
    <s v="Reparto Fin de semana"/>
    <n v="30000"/>
    <n v="10"/>
    <m/>
    <n v="10"/>
    <n v="300000"/>
    <x v="16"/>
    <x v="16"/>
    <x v="1"/>
    <s v="NETO"/>
    <s v="IMPUESTO"/>
    <s v="TOTAL"/>
    <n v="300000"/>
    <n v="0.19"/>
    <n v="57000"/>
    <n v="357000"/>
    <s v="DEPOSITO"/>
    <s v="JEIMMY JANINE PLAZA MARTINEZ"/>
    <s v="17.279.635-4"/>
    <s v="FALABELLA"/>
    <s v="CUENTA CORRIENTE"/>
    <n v="15040256940"/>
    <d v="2026-05-31T00:00:00"/>
    <s v="MAYO 2026"/>
    <d v="2026-06-15T00:00:00"/>
    <x v="16"/>
    <n v="0"/>
    <n v="357000"/>
    <s v="_Susc_FAC_JEIMMY_PLAZA.PDF"/>
  </r>
  <r>
    <s v="GALES"/>
    <s v="Suscripciones"/>
    <s v="GALES"/>
    <s v="MONITOR"/>
    <s v="POR DIA DE FIN DE SEMANA"/>
    <s v="JIMMY EDWARD OLIVOS BERROCAL "/>
    <s v="Monitoria Fin de Semana"/>
    <n v="35000"/>
    <n v="10"/>
    <m/>
    <n v="10"/>
    <n v="350000"/>
    <x v="17"/>
    <x v="17"/>
    <x v="0"/>
    <s v="BRUTO"/>
    <s v="RETENCION"/>
    <s v="LIQUIDO A PAGAR"/>
    <n v="350000"/>
    <n v="0.1525"/>
    <n v="53375"/>
    <n v="296625"/>
    <s v="DEPOSITO"/>
    <s v="JIMMY EDWARD OLIVOS BERROCAL "/>
    <s v="22.732.894-0"/>
    <s v="SCOTIABANK"/>
    <s v="CUENTA CORRIENTE"/>
    <n v="98762741"/>
    <d v="2026-05-31T00:00:00"/>
    <s v="MAYO 2026"/>
    <d v="2026-06-15T00:00:00"/>
    <x v="17"/>
    <n v="0"/>
    <n v="296625"/>
    <s v="_Susc_BOL_JIMMY_OLIVOS.PDF"/>
  </r>
  <r>
    <s v="PEÑALOLEN"/>
    <s v="Suscripciones"/>
    <s v="ÑUÑOA"/>
    <s v="PE.06"/>
    <s v="POR DIA DE FIN DE SEMANA"/>
    <s v="JIMMY EDWARD OLIVOS BERROCAL "/>
    <s v="Reparto Fin de semana"/>
    <n v="25000"/>
    <n v="10"/>
    <m/>
    <n v="10"/>
    <n v="250000"/>
    <x v="17"/>
    <x v="17"/>
    <x v="0"/>
    <s v="BRUTO"/>
    <s v="RETENCION"/>
    <s v="LIQUIDO A PAGAR"/>
    <n v="250000"/>
    <n v="0.1525"/>
    <n v="38125"/>
    <n v="211875"/>
    <s v="DEPOSITO"/>
    <s v="JIMMY EDWARD OLIVOS BERROCAL "/>
    <s v="22.732.894-0"/>
    <s v="SCOTIABANK"/>
    <s v="CUENTA CORRIENTE"/>
    <n v="98762741"/>
    <d v="2026-05-31T00:00:00"/>
    <s v="MAYO 2026"/>
    <d v="2026-06-15T00:00:00"/>
    <x v="17"/>
    <n v="0"/>
    <n v="211875"/>
    <s v="_Susc_BOL_JIMMY_OLIVOS.PDF"/>
  </r>
  <r>
    <s v="LA DEHESA"/>
    <s v="Suscripciones"/>
    <s v="LA DEHESA"/>
    <s v="JLP.01"/>
    <s v="POR DIA DE FIN DE SEMANA"/>
    <s v="JUAN LIMO PURILLA"/>
    <s v="Reparto Fin de semana"/>
    <n v="17000"/>
    <n v="10"/>
    <m/>
    <n v="10"/>
    <n v="170000"/>
    <x v="18"/>
    <x v="18"/>
    <x v="1"/>
    <s v="NETO"/>
    <s v="IMPUESTO"/>
    <s v="TOTAL"/>
    <n v="170000"/>
    <n v="0.19"/>
    <n v="32300"/>
    <n v="202300"/>
    <s v="DEPOSITO"/>
    <s v="JUAN LIMO PURILLA"/>
    <s v="14.719248-7"/>
    <s v="FALABELLA"/>
    <s v="CUENTA CORRIENTE"/>
    <n v="10090020490"/>
    <d v="2026-05-31T00:00:00"/>
    <s v="MAYO 2026"/>
    <d v="2026-06-15T00:00:00"/>
    <x v="18"/>
    <n v="0"/>
    <n v="202300"/>
    <s v="_Susc_FAC_JUAN_LIMO.PDF"/>
  </r>
  <r>
    <s v="VITACURA"/>
    <s v="Suscripciones"/>
    <s v="VITACURA"/>
    <s v="LC.01"/>
    <s v="POR DIA DE FIN DE SEMANA"/>
    <s v="LUIS ALBERTO CASTILLO ZAVALA"/>
    <s v="Reparto Fin de semana"/>
    <n v="31500"/>
    <n v="10"/>
    <m/>
    <n v="10"/>
    <n v="315000"/>
    <x v="19"/>
    <x v="19"/>
    <x v="0"/>
    <s v="BRUTO"/>
    <s v="RETENCION"/>
    <s v="LIQUIDO A PAGAR"/>
    <n v="315000"/>
    <n v="0.1525"/>
    <n v="48037.5"/>
    <n v="266962"/>
    <s v="DEPOSITO"/>
    <s v="LUIS ALBERTO CASTILLO ZAVALA"/>
    <s v="7.362.187-9"/>
    <s v="BANCO BANCO ESTADO"/>
    <s v="CUENTA VISTA"/>
    <n v="7362187"/>
    <d v="2026-05-31T00:00:00"/>
    <s v="MAYO 2026"/>
    <d v="2026-06-15T00:00:00"/>
    <x v="19"/>
    <n v="0"/>
    <n v="266962"/>
    <s v="_Susc_BOL_LUIS_CASTILLO.PDF"/>
  </r>
  <r>
    <s v="VITACURA"/>
    <s v="Suscripciones"/>
    <s v="VITACURA"/>
    <s v="LC.02"/>
    <s v="POR DIA DE FIN DE SEMANA"/>
    <s v="LUIS ALBERTO CASTILLO ZAVALA"/>
    <s v="Reparto Fin de semana"/>
    <n v="14500"/>
    <n v="10"/>
    <m/>
    <n v="10"/>
    <n v="145000"/>
    <x v="19"/>
    <x v="19"/>
    <x v="0"/>
    <s v="BRUTO"/>
    <s v="RETENCION"/>
    <s v="LIQUIDO A PAGAR"/>
    <n v="145000"/>
    <n v="0.1525"/>
    <n v="22112.5"/>
    <n v="122887"/>
    <s v="DEPOSITO"/>
    <s v="LUIS ALBERTO CASTILLO ZAVALA"/>
    <s v="7.362.187-9"/>
    <s v="BANCO BANCO ESTADO"/>
    <s v="CUENTA VISTA"/>
    <n v="7362187"/>
    <d v="2026-05-31T00:00:00"/>
    <s v="MAYO 2026"/>
    <d v="2026-06-15T00:00:00"/>
    <x v="19"/>
    <n v="0"/>
    <n v="122887"/>
    <s v="_Susc_BOL_LUIS_CASTILLO.PDF"/>
  </r>
  <r>
    <s v="VITACURA"/>
    <s v="Suscripciones"/>
    <s v="VITACURA"/>
    <s v="LCU.01"/>
    <s v="POR DIA DE FIN DE SEMANA"/>
    <s v="LUIS HUMBERTO CUNEO PREVIST"/>
    <s v="Reparto Fin de semana"/>
    <n v="15000"/>
    <n v="10"/>
    <m/>
    <n v="10"/>
    <n v="150000"/>
    <x v="20"/>
    <x v="20"/>
    <x v="0"/>
    <s v="BRUTO"/>
    <s v="RETENCION"/>
    <s v="LIQUIDO A PAGAR"/>
    <n v="150000"/>
    <n v="0.1525"/>
    <n v="22875"/>
    <n v="127125"/>
    <s v="DEPOSITO"/>
    <s v="LUIS HUMBERTO CUNEO PREVIST"/>
    <s v="8.709.153-8"/>
    <s v="BANCO BANCO ESTADO"/>
    <s v="CUENTA VISTA"/>
    <n v="8709153"/>
    <d v="2026-05-31T00:00:00"/>
    <s v="MAYO 2026"/>
    <d v="2026-06-15T00:00:00"/>
    <x v="20"/>
    <n v="0"/>
    <n v="127125"/>
    <s v="_Susc_BOL_LUIS_CUNEO.PDF"/>
  </r>
  <r>
    <s v="GALES"/>
    <s v="Suscripciones"/>
    <s v="GALES"/>
    <s v="GA.01"/>
    <s v="POR DIA DE FIN DE SEMANA"/>
    <s v="MANUEL ERNESTO ILLANES BELTRAN"/>
    <s v="Reparto Fin de semana"/>
    <n v="30000"/>
    <n v="10"/>
    <m/>
    <n v="10"/>
    <n v="300000"/>
    <x v="21"/>
    <x v="21"/>
    <x v="0"/>
    <s v="BRUTO"/>
    <s v="RETENCION"/>
    <s v="LIQUIDO A PAGAR"/>
    <n v="300000"/>
    <n v="0.1525"/>
    <n v="45750"/>
    <n v="254250"/>
    <s v="DEPOSITO"/>
    <s v="MANUEL ERNESTO ILLANES BELTRAN"/>
    <s v="9.112.125-5"/>
    <s v="BANCO BANCO ESTADO"/>
    <s v="CUENTA VISTA"/>
    <n v="9112125"/>
    <d v="2026-05-31T00:00:00"/>
    <s v="MAYO 2026"/>
    <d v="2026-06-15T00:00:00"/>
    <x v="21"/>
    <n v="0"/>
    <n v="254250"/>
    <s v="_Susc_BOL_MANUEL_ILLANES.PDF"/>
  </r>
  <r>
    <s v="GALES"/>
    <s v="Suscripciones"/>
    <s v="GALES"/>
    <s v="GA.03"/>
    <s v="POR DIA DE FIN DE SEMANA"/>
    <s v="MANUEL ERNESTO ILLANES BELTRAN"/>
    <s v="Reparto Fin de semana"/>
    <n v="12000"/>
    <n v="10"/>
    <m/>
    <n v="10"/>
    <n v="120000"/>
    <x v="21"/>
    <x v="21"/>
    <x v="0"/>
    <s v="BRUTO"/>
    <s v="RETENCION"/>
    <s v="LIQUIDO A PAGAR"/>
    <n v="120000"/>
    <n v="0.1525"/>
    <n v="18300"/>
    <n v="101700"/>
    <s v="DEPOSITO"/>
    <s v="MANUEL ERNESTO ILLANES BELTRAN"/>
    <s v="9.112.125-5"/>
    <s v="BANCO BANCO ESTADO"/>
    <s v="CUENTA VISTA"/>
    <n v="9112125"/>
    <d v="2026-05-31T00:00:00"/>
    <s v="MAYO 2026"/>
    <d v="2026-06-15T00:00:00"/>
    <x v="21"/>
    <n v="0"/>
    <n v="101700"/>
    <s v="_Susc_BOL_MANUEL_ILLANES.PDF"/>
  </r>
  <r>
    <s v="LAS CONDES"/>
    <s v="Suscripciones"/>
    <s v="LAS CONDES"/>
    <s v="LC.01"/>
    <s v="FIJO MENSUAL"/>
    <s v="MANUEL JESUS HERNANDEZ CADIZ"/>
    <s v="Fijo Mensual"/>
    <n v="350000"/>
    <n v="1"/>
    <m/>
    <n v="1"/>
    <n v="350000"/>
    <x v="22"/>
    <x v="22"/>
    <x v="1"/>
    <s v="NETO"/>
    <s v="IMPUESTO"/>
    <s v="TOTAL"/>
    <n v="350000"/>
    <n v="0.19"/>
    <n v="66500"/>
    <n v="416500"/>
    <s v="DEPOSITO"/>
    <s v="MANUEL JESUS HERNANDEZ CADIZ"/>
    <s v="13.072.027-7"/>
    <s v="FALABELLA"/>
    <s v="CUENTA CORRIENTE"/>
    <n v="10090009120"/>
    <d v="2026-05-31T00:00:00"/>
    <s v="MAYO 2026"/>
    <d v="2026-06-15T00:00:00"/>
    <x v="22"/>
    <n v="0"/>
    <n v="416500"/>
    <s v="_Susc_FAC_MANUEL_HERNANDEZ.PDF"/>
  </r>
  <r>
    <s v="LAS CONDES"/>
    <s v="Suscripciones"/>
    <s v="LAS CONDES"/>
    <s v="LC.24"/>
    <s v="POR DIA DE FIN DE SEMANA"/>
    <s v="MANUEL JESUS HERNANDEZ CADIZ"/>
    <s v="Reparto Fin de semana"/>
    <n v="30000"/>
    <n v="10"/>
    <m/>
    <n v="10"/>
    <n v="300000"/>
    <x v="22"/>
    <x v="22"/>
    <x v="1"/>
    <s v="NETO"/>
    <s v="IMPUESTO"/>
    <s v="TOTAL"/>
    <n v="300000"/>
    <n v="0.19"/>
    <n v="57000"/>
    <n v="357000"/>
    <s v="DEPOSITO"/>
    <s v="MANUEL JESUS HERNANDEZ CADIZ"/>
    <s v="13.072.027-7"/>
    <s v="FALABELLA"/>
    <s v="CUENTA CORRIENTE"/>
    <n v="10090009120"/>
    <d v="2026-05-31T00:00:00"/>
    <s v="MAYO 2026"/>
    <d v="2026-06-15T00:00:00"/>
    <x v="22"/>
    <n v="0"/>
    <n v="357000"/>
    <s v="_Susc_FAC_MANUEL_HERNANDEZ.PDF"/>
  </r>
  <r>
    <s v="LAS CONDES"/>
    <s v="Suscripciones"/>
    <s v="LAS CONDES"/>
    <s v="LC.24"/>
    <s v="POR DIA DE FIN DE SEMANA"/>
    <s v="FAVIO ANDRES JESUS HERNANDEZ CADIZ"/>
    <s v="Monitoria Fin de Semana"/>
    <n v="30000"/>
    <n v="10"/>
    <m/>
    <n v="10"/>
    <n v="300000"/>
    <x v="22"/>
    <x v="22"/>
    <x v="1"/>
    <s v="NETO"/>
    <s v="IMPUESTO"/>
    <s v="TOTAL"/>
    <n v="300000"/>
    <n v="0.19"/>
    <n v="57000"/>
    <n v="357000"/>
    <s v="DEPOSITO"/>
    <s v="MANUEL JESUS HERNANDEZ CADIZ"/>
    <s v="13.072.027-7"/>
    <s v="FALABELLA"/>
    <s v="CUENTA CORRIENTE"/>
    <n v="10090009120"/>
    <d v="2026-05-31T00:00:00"/>
    <s v="MAYO 2026"/>
    <d v="2026-06-15T00:00:00"/>
    <x v="22"/>
    <n v="0"/>
    <n v="357000"/>
    <s v="_Susc_FAC_MANUEL_HERNANDEZ.PDF"/>
  </r>
  <r>
    <s v="LAS CONDES"/>
    <s v="Suscripciones"/>
    <s v="LAS CONDES"/>
    <s v="MONITOR"/>
    <s v="POR DIA DE FIN DE SEMANA"/>
    <s v="MANUEL JESUS HERNANDEZ CADIZ"/>
    <s v="Monitoria Fin de Semana"/>
    <n v="35000"/>
    <n v="10"/>
    <m/>
    <n v="10"/>
    <n v="350000"/>
    <x v="22"/>
    <x v="22"/>
    <x v="1"/>
    <s v="NETO"/>
    <s v="IMPUESTO"/>
    <s v="TOTAL"/>
    <n v="350000"/>
    <n v="0.19"/>
    <n v="66500"/>
    <n v="416500"/>
    <s v="DEPOSITO"/>
    <s v="MANUEL JESUS HERNANDEZ CADIZ"/>
    <s v="13.072.027-7"/>
    <s v="FALABELLA"/>
    <s v="CUENTA CORRIENTE"/>
    <n v="10090009120"/>
    <d v="2026-05-31T00:00:00"/>
    <s v="MAYO 2026"/>
    <d v="2026-06-15T00:00:00"/>
    <x v="22"/>
    <n v="0"/>
    <n v="416500"/>
    <s v="_Susc_FAC_MANUEL_HERNANDEZ.PDF"/>
  </r>
  <r>
    <s v="LAS CONDES"/>
    <s v="Suscripciones"/>
    <s v="LAS CONDES"/>
    <s v="SD.04 "/>
    <s v="POR DIA DE FIN DE SEMANA"/>
    <s v="MANUEL JESUS HERNANDEZ CADIZ"/>
    <s v="Reparto Fin de semana"/>
    <n v="20000"/>
    <n v="10"/>
    <m/>
    <n v="10"/>
    <n v="200000"/>
    <x v="22"/>
    <x v="22"/>
    <x v="1"/>
    <s v="NETO"/>
    <s v="IMPUESTO"/>
    <s v="TOTAL"/>
    <n v="200000"/>
    <n v="0.19"/>
    <n v="38000"/>
    <n v="238000"/>
    <s v="DEPOSITO"/>
    <s v="MANUEL JESUS HERNANDEZ CADIZ"/>
    <s v="13.072.027-7"/>
    <s v="FALABELLA"/>
    <s v="CUENTA CORRIENTE"/>
    <n v="10090009120"/>
    <d v="2026-05-31T00:00:00"/>
    <s v="MAYO 2026"/>
    <d v="2026-06-15T00:00:00"/>
    <x v="22"/>
    <n v="0"/>
    <n v="238000"/>
    <s v="_Susc_FAC_MANUEL_HERNANDEZ.PDF"/>
  </r>
  <r>
    <s v="LAS CONDES"/>
    <s v="Suscripciones"/>
    <s v="LAS CONDES"/>
    <s v="SD.07 "/>
    <s v="POR DIA DE FIN DE SEMANA"/>
    <s v="MANUEL JESUS HERNANDEZ CADIZ"/>
    <s v="Reparto Fin de semana"/>
    <n v="50000"/>
    <n v="10"/>
    <m/>
    <n v="10"/>
    <n v="500000"/>
    <x v="22"/>
    <x v="22"/>
    <x v="1"/>
    <s v="NETO"/>
    <s v="IMPUESTO"/>
    <s v="TOTAL"/>
    <n v="500000"/>
    <n v="0.19"/>
    <n v="95000"/>
    <n v="595000"/>
    <s v="DEPOSITO"/>
    <s v="MANUEL JESUS HERNANDEZ CADIZ"/>
    <s v="13.072.027-7"/>
    <s v="FALABELLA"/>
    <s v="CUENTA CORRIENTE"/>
    <n v="10090009120"/>
    <d v="2026-05-31T00:00:00"/>
    <s v="MAYO 2026"/>
    <d v="2026-06-15T00:00:00"/>
    <x v="22"/>
    <n v="0"/>
    <n v="595000"/>
    <s v="_Susc_FAC_MANUEL_HERNANDEZ.PDF"/>
  </r>
  <r>
    <s v="LAS CONDES"/>
    <s v="Suscripciones"/>
    <s v="LAS CONDES"/>
    <s v="LC.08, LC.38"/>
    <s v="POR DIA DE FIN DE SEMANA"/>
    <s v="MANUEL JESUS HERNANDEZ CADIZ"/>
    <s v="Reparto Fin de semana"/>
    <n v="14000"/>
    <n v="10"/>
    <m/>
    <n v="10"/>
    <n v="140000"/>
    <x v="22"/>
    <x v="22"/>
    <x v="1"/>
    <s v="NETO"/>
    <s v="IMPUESTO"/>
    <s v="TOTAL"/>
    <n v="140000"/>
    <n v="0.19"/>
    <n v="26600"/>
    <n v="166600"/>
    <s v="DEPOSITO"/>
    <s v="MANUEL JESUS HERNANDEZ CADIZ"/>
    <s v="13.072.027-7"/>
    <s v="FALABELLA"/>
    <s v="CUENTA CORRIENTE"/>
    <n v="10090009120"/>
    <d v="2026-05-31T00:00:00"/>
    <s v="MAYO 2026"/>
    <d v="2026-06-15T00:00:00"/>
    <x v="22"/>
    <n v="0"/>
    <n v="166600"/>
    <s v="_Susc_FAC_MANUEL_HERNANDEZ.PDF"/>
  </r>
  <r>
    <s v="LAS CONDES"/>
    <s v="OPV"/>
    <s v="LAS CONDES"/>
    <s v="OPV"/>
    <s v="SEGÚN PUNTOS DE ENTREGA DIARIOS"/>
    <s v="MANUEL JESUS HERNANDEZ CADIZ"/>
    <s v="OPV"/>
    <n v="2500"/>
    <n v="30"/>
    <m/>
    <n v="30"/>
    <n v="75000"/>
    <x v="22"/>
    <x v="22"/>
    <x v="1"/>
    <s v="NETO"/>
    <s v="IMPUESTO"/>
    <s v="TOTAL"/>
    <n v="75000"/>
    <n v="0.19"/>
    <n v="14250"/>
    <n v="89250"/>
    <s v="DEPOSITO"/>
    <s v="MANUEL JESUS HERNANDEZ CADIZ"/>
    <s v="13.072.027-7"/>
    <s v="FALABELLA"/>
    <s v="CUENTA CORRIENTE"/>
    <n v="10090009120"/>
    <d v="2026-05-31T00:00:00"/>
    <s v="MAYO 2026"/>
    <d v="2026-06-15T00:00:00"/>
    <x v="22"/>
    <n v="0"/>
    <n v="89250"/>
    <s v="_Susc_FAC_MANUEL_HERNANDEZ.PDF"/>
  </r>
  <r>
    <s v="LAS CONDES"/>
    <s v="Suscripciones"/>
    <s v="LAS CONDES"/>
    <s v="LC.06"/>
    <s v="POR DIA DE FIN DE SEMANA"/>
    <s v="FAVIO ANDRES JESUS HERNANDEZ CADIZ"/>
    <s v="Reparto Fin de semana"/>
    <n v="10000"/>
    <n v="10"/>
    <m/>
    <n v="10"/>
    <n v="100000"/>
    <x v="22"/>
    <x v="22"/>
    <x v="1"/>
    <s v="NETO"/>
    <s v="IMPUESTO"/>
    <s v="TOTAL"/>
    <n v="100000"/>
    <n v="0.19"/>
    <n v="19000"/>
    <n v="119000"/>
    <s v="DEPOSITO"/>
    <s v="MANUEL JESUS HERNANDEZ CADIZ"/>
    <s v="13.072.027-7"/>
    <s v="FALABELLA"/>
    <s v="CUENTA CORRIENTE"/>
    <n v="10090009120"/>
    <d v="2026-05-31T00:00:00"/>
    <s v="MAYO 2026"/>
    <d v="2026-06-15T00:00:00"/>
    <x v="22"/>
    <n v="0"/>
    <n v="119000"/>
    <s v="_Susc_FAC_MANUEL_HERNANDEZ.PDF"/>
  </r>
  <r>
    <s v="ÑUÑOA"/>
    <s v="Suscripciones"/>
    <s v="ÑUÑOA"/>
    <s v="ÑU.12"/>
    <s v="POR DIA DE FIN DE SEMANA"/>
    <s v="MARCELO DEL ROSARIO RUBILAR DIAZ"/>
    <s v="Reparto Fin de semana"/>
    <n v="35000"/>
    <n v="10"/>
    <m/>
    <n v="10"/>
    <n v="350000"/>
    <x v="23"/>
    <x v="23"/>
    <x v="0"/>
    <s v="BRUTO"/>
    <s v="RETENCION"/>
    <s v="LIQUIDO A PAGAR"/>
    <n v="350000"/>
    <n v="0.1525"/>
    <n v="53375"/>
    <n v="296625"/>
    <s v="DEPOSITO"/>
    <s v="MARCELO DEL ROSARIO RUBILAR DIAZ"/>
    <s v="9.898.687-1"/>
    <s v="FALABELLA"/>
    <s v="CUENTA VISTA"/>
    <n v="10060536918"/>
    <d v="2026-05-31T00:00:00"/>
    <s v="MAYO 2026"/>
    <d v="2026-06-15T00:00:00"/>
    <x v="23"/>
    <n v="0"/>
    <n v="296625"/>
    <s v="_Susc_BOL_MARCELO_RUBILAR.PDF"/>
  </r>
  <r>
    <s v="ÑUÑOA"/>
    <s v="Suscripciones"/>
    <s v="ÑUÑOA"/>
    <s v="ÑU.11"/>
    <s v="POR DIA DE FIN DE SEMANA"/>
    <s v="MARCELO DEL ROSARIO RUBILAR DIAZ"/>
    <s v="Reparto Fin de semana"/>
    <n v="25000"/>
    <n v="10"/>
    <m/>
    <n v="10"/>
    <n v="250000"/>
    <x v="23"/>
    <x v="23"/>
    <x v="0"/>
    <s v="BRUTO"/>
    <s v="RETENCION"/>
    <s v="LIQUIDO A PAGAR"/>
    <n v="250000"/>
    <n v="0.1525"/>
    <n v="38125"/>
    <n v="211875"/>
    <s v="DEPOSITO"/>
    <s v="MARCELO DEL ROSARIO RUBILAR DIAZ"/>
    <s v="9.898.687-1"/>
    <s v="FALABELLA"/>
    <s v="CUENTA VISTA"/>
    <n v="10060536918"/>
    <d v="2026-05-31T00:00:00"/>
    <s v="MAYO 2026"/>
    <d v="2026-06-15T00:00:00"/>
    <x v="23"/>
    <n v="0"/>
    <n v="211875"/>
    <s v="_Susc_BOL_MARCELO_RUBILAR.PDF"/>
  </r>
  <r>
    <s v="ÑUÑOA"/>
    <s v="Suscripciones"/>
    <s v="ÑUÑOA"/>
    <s v="ÑU.13"/>
    <s v="POR DIA DE FIN DE SEMANA"/>
    <s v="MARCELO DEL ROSARIO RUBILAR DIAZ"/>
    <s v="Reparto Fin de semana"/>
    <n v="17500"/>
    <n v="10"/>
    <m/>
    <n v="10"/>
    <n v="175000"/>
    <x v="23"/>
    <x v="23"/>
    <x v="0"/>
    <s v="BRUTO"/>
    <s v="RETENCION"/>
    <s v="LIQUIDO A PAGAR"/>
    <n v="175000"/>
    <n v="0.1525"/>
    <n v="26687.5"/>
    <n v="148312"/>
    <s v="DEPOSITO"/>
    <s v="MARCELO DEL ROSARIO RUBILAR DIAZ"/>
    <s v="9.898.687-1"/>
    <s v="FALABELLA"/>
    <s v="CUENTA VISTA"/>
    <n v="10060536918"/>
    <d v="2026-05-31T00:00:00"/>
    <s v="MAYO 2026"/>
    <d v="2026-06-15T00:00:00"/>
    <x v="23"/>
    <n v="0"/>
    <n v="148312"/>
    <s v="_Susc_BOL_MARCELO_RUBILAR.PDF"/>
  </r>
  <r>
    <s v="ÑUÑOA"/>
    <s v="Suscripciones"/>
    <s v="ÑUÑOA"/>
    <s v="ÑU.04"/>
    <s v="POR DIA DE FIN DE SEMANA"/>
    <s v="MARCO ANTONIO VALDES ACEVEDO"/>
    <s v="Reparto Fin de semana"/>
    <n v="54500"/>
    <n v="10"/>
    <m/>
    <n v="10"/>
    <n v="545000"/>
    <x v="24"/>
    <x v="24"/>
    <x v="0"/>
    <s v="BRUTO"/>
    <s v="RETENCION"/>
    <s v="LIQUIDO A PAGAR"/>
    <n v="545000"/>
    <n v="0.1525"/>
    <n v="83112.5"/>
    <n v="461887"/>
    <s v="DEPOSITO"/>
    <s v="MARCO ANTONIO VALDES ACEVEDO"/>
    <s v="9.908.413-8"/>
    <s v="RIPLEY"/>
    <s v="CUENTA VISTA"/>
    <n v="4041876932"/>
    <d v="2026-05-31T00:00:00"/>
    <s v="MAYO 2026"/>
    <d v="2026-06-15T00:00:00"/>
    <x v="24"/>
    <n v="0"/>
    <n v="461887"/>
    <s v="_Susc_BOL_MARCO_VALDES.PDF"/>
  </r>
  <r>
    <s v="LA DEHESA"/>
    <s v="Suscripciones"/>
    <s v="LA DEHESA"/>
    <s v="FT.01"/>
    <s v="POR DIA DE FIN DE SEMANA"/>
    <s v="FRANCISCO TRONCOSO"/>
    <s v="Reparto Fin de semana"/>
    <n v="20000"/>
    <n v="10"/>
    <m/>
    <n v="10"/>
    <n v="200000"/>
    <x v="25"/>
    <x v="25"/>
    <x v="1"/>
    <s v="NETO"/>
    <s v="IMPUESTO"/>
    <s v="TOTAL"/>
    <n v="200000"/>
    <n v="0.19"/>
    <n v="38000"/>
    <n v="238000"/>
    <s v="DEPOSITO"/>
    <s v="MARIA ISABEL RAMIREZ NUNEZ"/>
    <s v="10.140.359-9"/>
    <s v="BANCO BANCO ESTADO"/>
    <s v="CUENTA CORRIENTE"/>
    <n v="27000023961"/>
    <d v="2026-05-31T00:00:00"/>
    <s v="MAYO 2026"/>
    <d v="2026-06-15T00:00:00"/>
    <x v="25"/>
    <n v="0"/>
    <n v="238000"/>
    <s v="_Susc_FAC_MARIA_RAMIREZ.PDF"/>
  </r>
  <r>
    <s v="LA DEHESA"/>
    <s v="Suscripciones"/>
    <s v="LA DEHESA"/>
    <s v="RT.01"/>
    <s v="POR DIA DE FIN DE SEMANA"/>
    <s v="RAMIRO TRONCOSO"/>
    <s v="Reparto Fin de semana"/>
    <n v="15500"/>
    <n v="10"/>
    <m/>
    <n v="10"/>
    <n v="155000"/>
    <x v="25"/>
    <x v="25"/>
    <x v="1"/>
    <s v="NETO"/>
    <s v="IMPUESTO"/>
    <s v="TOTAL"/>
    <n v="155000"/>
    <n v="0.19"/>
    <n v="29450"/>
    <n v="184450"/>
    <s v="DEPOSITO"/>
    <s v="MARIA ISABEL RAMIREZ NUNEZ"/>
    <s v="10.140.359-9"/>
    <s v="BANCO BANCO ESTADO"/>
    <s v="CUENTA CORRIENTE"/>
    <n v="27000023961"/>
    <d v="2026-05-31T00:00:00"/>
    <s v="MAYO 2026"/>
    <d v="2026-06-15T00:00:00"/>
    <x v="25"/>
    <n v="0"/>
    <n v="184450"/>
    <s v="_Susc_FAC_MARIA_RAMIREZ.PDF"/>
  </r>
  <r>
    <s v="LA DEHESA"/>
    <s v="Suscripciones"/>
    <s v="LA DEHESA"/>
    <s v="RT.02"/>
    <s v="POR DIA DE FIN DE SEMANA"/>
    <s v="RAMIRO TRONCOSO"/>
    <s v="Reparto Fin de semana"/>
    <n v="15500"/>
    <n v="10"/>
    <m/>
    <n v="10"/>
    <n v="155000"/>
    <x v="25"/>
    <x v="25"/>
    <x v="1"/>
    <s v="NETO"/>
    <s v="IMPUESTO"/>
    <s v="TOTAL"/>
    <n v="155000"/>
    <n v="0.19"/>
    <n v="29450"/>
    <n v="184450"/>
    <s v="DEPOSITO"/>
    <s v="MARIA ISABEL RAMIREZ NUNEZ"/>
    <s v="10.140.359-9"/>
    <s v="BANCO BANCO ESTADO"/>
    <s v="CUENTA CORRIENTE"/>
    <n v="27000023961"/>
    <d v="2026-05-31T00:00:00"/>
    <s v="MAYO 2026"/>
    <d v="2026-06-15T00:00:00"/>
    <x v="25"/>
    <n v="0"/>
    <n v="184450"/>
    <s v="_Susc_FAC_MARIA_RAMIREZ.PDF"/>
  </r>
  <r>
    <s v="LAS CONDES"/>
    <s v="Suscripciones"/>
    <s v="LAS CONDES"/>
    <s v="MP.LC.09"/>
    <s v="POR DIA DE FIN DE SEMANA"/>
    <s v="MARISOL DEL CARMEN PAREDES BELTRAN"/>
    <s v="Reparto Fin de semana"/>
    <n v="25000"/>
    <n v="10"/>
    <n v="0"/>
    <n v="10"/>
    <n v="250000"/>
    <x v="26"/>
    <x v="26"/>
    <x v="1"/>
    <s v="NETO"/>
    <s v="IMPUESTO"/>
    <s v="TOTAL"/>
    <n v="250000"/>
    <n v="0.19"/>
    <n v="47500"/>
    <n v="297500"/>
    <s v="DEPOSITO"/>
    <s v="MARISOL DEL CARMEN PAREDES BELTRAN"/>
    <s v="13.145.951-3"/>
    <s v="BANCO BANCO ESTADO"/>
    <s v="CUENTA VISTA"/>
    <n v="13145951"/>
    <d v="2026-05-31T00:00:00"/>
    <s v="MAYO 2026"/>
    <d v="2026-06-15T00:00:00"/>
    <x v="26"/>
    <n v="0"/>
    <n v="297500"/>
    <s v="_Susc_FAC_MARISOL_PAREDES.PDF"/>
  </r>
  <r>
    <s v="LAS CONDES"/>
    <s v="Suscripciones"/>
    <s v="LAS CONDES"/>
    <s v="MP.LC.11"/>
    <s v="POR DIA DE FIN DE SEMANA"/>
    <s v="MARISOL DEL CARMEN PAREDES BELTRAN"/>
    <s v="Reparto Fin de semana"/>
    <n v="25000"/>
    <n v="10"/>
    <n v="0"/>
    <n v="10"/>
    <n v="250000"/>
    <x v="26"/>
    <x v="26"/>
    <x v="1"/>
    <s v="NETO"/>
    <s v="IMPUESTO"/>
    <s v="TOTAL"/>
    <n v="250000"/>
    <n v="0.19"/>
    <n v="47500"/>
    <n v="297500"/>
    <s v="DEPOSITO"/>
    <s v="MARISOL DEL CARMEN PAREDES BELTRAN"/>
    <s v="13.145.951-3"/>
    <s v="BANCO BANCO ESTADO"/>
    <s v="CUENTA VISTA"/>
    <n v="13145951"/>
    <d v="2026-05-31T00:00:00"/>
    <s v="MAYO 2026"/>
    <d v="2026-06-15T00:00:00"/>
    <x v="26"/>
    <n v="0"/>
    <n v="297500"/>
    <s v="_Susc_FAC_MARISOL_PAREDES.PDF"/>
  </r>
  <r>
    <s v="LA DEHESA"/>
    <s v="Suscripciones"/>
    <s v="LA DEHESA"/>
    <s v="MZ.01"/>
    <s v="POR DIA DE FIN DE SEMANA"/>
    <s v="MAURICIO ALEJANDRO ZUÑIGA FUENTES"/>
    <s v="Reparto Fin de semana"/>
    <n v="55000"/>
    <n v="10"/>
    <m/>
    <n v="10"/>
    <n v="550000"/>
    <x v="27"/>
    <x v="27"/>
    <x v="1"/>
    <s v="NETO"/>
    <s v="IMPUESTO"/>
    <s v="TOTAL"/>
    <n v="550000"/>
    <n v="0.19"/>
    <n v="104500"/>
    <n v="654500"/>
    <s v="DEPOSITO"/>
    <s v="MAURICIO ALEJANDRO ZUÑIGA FUENTES"/>
    <s v="13.689.979-1"/>
    <s v="SCOTIABANK"/>
    <s v="CUENTA VISTA"/>
    <n v="190134555"/>
    <d v="2026-05-31T00:00:00"/>
    <s v="MAYO 2026"/>
    <d v="2026-06-15T00:00:00"/>
    <x v="27"/>
    <n v="0"/>
    <n v="654500"/>
    <s v="_Susc_FAC_MAURICIO_ZUNIGA.PDF"/>
  </r>
  <r>
    <s v="LA DEHESA"/>
    <s v="Suscripciones"/>
    <s v="LA DEHESA"/>
    <s v="TRASLADO TAPA"/>
    <s v="POR DIA DE FIN DE SEMANA"/>
    <s v="MAURICIO DEL CARMEN JARA MELO"/>
    <s v="Transporte Tapa a Punto SD"/>
    <n v="25000"/>
    <n v="10"/>
    <n v="0"/>
    <n v="10"/>
    <n v="250000"/>
    <x v="28"/>
    <x v="28"/>
    <x v="1"/>
    <s v="NETO"/>
    <s v="IMPUESTO"/>
    <s v="TOTAL"/>
    <n v="250000"/>
    <n v="0.19"/>
    <n v="47500"/>
    <n v="297500"/>
    <s v="DEPOSITO"/>
    <s v="MAURICIO DEL CARMEN JARA MELO"/>
    <s v="12.987.094-K"/>
    <s v="BANCO BANCO ESTADO"/>
    <s v="CUENTA VISTA"/>
    <n v="12987094"/>
    <d v="2026-05-31T00:00:00"/>
    <s v="MAYO 2026"/>
    <d v="2026-06-15T00:00:00"/>
    <x v="28"/>
    <n v="0"/>
    <n v="297500"/>
    <s v="_Susc_FAC_MAURICIO_JARA.PDF"/>
  </r>
  <r>
    <s v="LA DEHESA"/>
    <s v="Suscripciones"/>
    <s v="LA DEHESA"/>
    <s v="MJ.01"/>
    <s v="POR DIA DE FIN DE SEMANA"/>
    <s v="MAURICIO DEL CARMEN JARA MELO"/>
    <s v="Reparto Fin de semana"/>
    <n v="15000"/>
    <n v="10"/>
    <m/>
    <n v="10"/>
    <n v="150000"/>
    <x v="28"/>
    <x v="28"/>
    <x v="1"/>
    <s v="NETO"/>
    <s v="IMPUESTO"/>
    <s v="TOTAL"/>
    <n v="150000"/>
    <n v="0.19"/>
    <n v="28500"/>
    <n v="178500"/>
    <s v="DEPOSITO"/>
    <s v="MAURICIO DEL CARMEN JARA MELO"/>
    <s v="12.987.094-K"/>
    <s v="BANCO BANCO ESTADO"/>
    <s v="CUENTA VISTA"/>
    <n v="12987094"/>
    <d v="2026-05-31T00:00:00"/>
    <s v="MAYO 2026"/>
    <d v="2026-06-15T00:00:00"/>
    <x v="28"/>
    <n v="0"/>
    <n v="178500"/>
    <s v="_Susc_FAC_MAURICIO_JARA.PDF"/>
  </r>
  <r>
    <s v="LA DEHESA"/>
    <s v="Suscripciones"/>
    <s v="LA DEHESA"/>
    <s v="MJ.02"/>
    <s v="POR DIA DE FIN DE SEMANA"/>
    <s v="MAURICIO DEL CARMEN JARA MELO"/>
    <s v="Reparto Fin de semana"/>
    <n v="15000"/>
    <n v="10"/>
    <m/>
    <n v="10"/>
    <n v="150000"/>
    <x v="28"/>
    <x v="28"/>
    <x v="1"/>
    <s v="NETO"/>
    <s v="IMPUESTO"/>
    <s v="TOTAL"/>
    <n v="150000"/>
    <n v="0.19"/>
    <n v="28500"/>
    <n v="178500"/>
    <s v="DEPOSITO"/>
    <s v="MAURICIO DEL CARMEN JARA MELO"/>
    <s v="12.987.094-K"/>
    <s v="BANCO BANCO ESTADO"/>
    <s v="CUENTA VISTA"/>
    <n v="12987094"/>
    <d v="2026-05-31T00:00:00"/>
    <s v="MAYO 2026"/>
    <d v="2026-06-15T00:00:00"/>
    <x v="28"/>
    <n v="0"/>
    <n v="178500"/>
    <s v="_Susc_FAC_MAURICIO_JARA.PDF"/>
  </r>
  <r>
    <s v="LA DEHESA"/>
    <s v="Suscripciones"/>
    <s v="LA DEHESA"/>
    <s v="MONITOR"/>
    <s v="POR DIA DE FIN DE SEMANA"/>
    <s v="MAURICIO DEL CARMEN JARA MELO"/>
    <s v="Monitoria Fin de Semana"/>
    <n v="35000"/>
    <n v="10"/>
    <m/>
    <n v="10"/>
    <n v="350000"/>
    <x v="28"/>
    <x v="28"/>
    <x v="1"/>
    <s v="NETO"/>
    <s v="IMPUESTO"/>
    <s v="TOTAL"/>
    <n v="350000"/>
    <n v="0.19"/>
    <n v="66500"/>
    <n v="416500"/>
    <s v="DEPOSITO"/>
    <s v="MAURICIO DEL CARMEN JARA MELO"/>
    <s v="12.987.094-K"/>
    <s v="BANCO BANCO ESTADO"/>
    <s v="CUENTA VISTA"/>
    <n v="12987094"/>
    <d v="2026-05-31T00:00:00"/>
    <s v="MAYO 2026"/>
    <d v="2026-06-15T00:00:00"/>
    <x v="28"/>
    <n v="0"/>
    <n v="416500"/>
    <s v="_Susc_FAC_MAURICIO_JARA.PDF"/>
  </r>
  <r>
    <s v="LAS CONDES"/>
    <s v="Suscripciones"/>
    <s v="LAS CONDES"/>
    <s v="MR.LC.03"/>
    <s v="POR DIA DE FIN DE SEMANA"/>
    <s v="MIGUEL ANGEL RODRIGUEZ RODRIGUEZ"/>
    <s v="Reparto Fin de semana"/>
    <n v="18000"/>
    <n v="10"/>
    <m/>
    <n v="10"/>
    <n v="180000"/>
    <x v="29"/>
    <x v="29"/>
    <x v="1"/>
    <s v="NETO"/>
    <s v="IMPUESTO"/>
    <s v="TOTAL"/>
    <n v="180000"/>
    <n v="0.19"/>
    <n v="34200"/>
    <n v="214200"/>
    <s v="DEPOSITO"/>
    <s v="MIGUEL ANGEL RODRIGUEZ RODRIGUEZ"/>
    <s v="15.777.772-6"/>
    <s v="FALABELLA"/>
    <s v="CUENTA CORRIENTE"/>
    <n v="15150071956"/>
    <d v="2026-05-31T00:00:00"/>
    <s v="MAYO 2026"/>
    <d v="2026-06-15T00:00:00"/>
    <x v="29"/>
    <n v="0"/>
    <n v="214200"/>
    <s v="_Susc_FAC_MIGUEL_RODRIGUEZ.PDF"/>
  </r>
  <r>
    <s v="LAS CONDES"/>
    <s v="Suscripciones"/>
    <s v="LAS CONDES"/>
    <s v="MR.LC.10"/>
    <s v="POR DIA DE FIN DE SEMANA"/>
    <s v="MIGUEL ANGEL RODRIGUEZ RODRIGUEZ"/>
    <s v="Reparto Fin de semana"/>
    <n v="18000"/>
    <n v="10"/>
    <m/>
    <n v="10"/>
    <n v="180000"/>
    <x v="29"/>
    <x v="29"/>
    <x v="1"/>
    <s v="NETO"/>
    <s v="IMPUESTO"/>
    <s v="TOTAL"/>
    <n v="180000"/>
    <n v="0.19"/>
    <n v="34200"/>
    <n v="214200"/>
    <s v="DEPOSITO"/>
    <s v="MIGUEL ANGEL RODRIGUEZ RODRIGUEZ"/>
    <s v="15.777.772-6"/>
    <s v="FALABELLA"/>
    <s v="CUENTA CORRIENTE"/>
    <n v="15150071956"/>
    <d v="2026-05-31T00:00:00"/>
    <s v="MAYO 2026"/>
    <d v="2026-06-15T00:00:00"/>
    <x v="29"/>
    <n v="0"/>
    <n v="214200"/>
    <s v="_Susc_FAC_MIGUEL_RODRIGUEZ.PDF"/>
  </r>
  <r>
    <s v="LAS CONDES"/>
    <s v="Suscripciones"/>
    <s v="LAS CONDES"/>
    <s v="MR.LC.01"/>
    <s v="POR DIA DE FIN DE SEMANA"/>
    <s v="MIGUEL ANGEL RODRIGUEZ RODRIGUEZ"/>
    <s v="Reparto Fin de semana"/>
    <n v="18000"/>
    <n v="10"/>
    <m/>
    <n v="10"/>
    <n v="180000"/>
    <x v="29"/>
    <x v="29"/>
    <x v="1"/>
    <s v="NETO"/>
    <s v="IMPUESTO"/>
    <s v="TOTAL"/>
    <n v="180000"/>
    <n v="0.19"/>
    <n v="34200"/>
    <n v="214200"/>
    <s v="DEPOSITO"/>
    <s v="MIGUEL ANGEL RODRIGUEZ RODRIGUEZ"/>
    <s v="15.777.772-6"/>
    <s v="FALABELLA"/>
    <s v="CUENTA CORRIENTE"/>
    <n v="15150071956"/>
    <d v="2026-05-31T00:00:00"/>
    <s v="MAYO 2026"/>
    <d v="2026-06-15T00:00:00"/>
    <x v="29"/>
    <n v="0"/>
    <n v="214200"/>
    <s v="_Susc_FAC_MIGUEL_RODRIGUEZ.PDF"/>
  </r>
  <r>
    <s v="ÑUÑOA"/>
    <s v="Suscripciones"/>
    <s v="ÑUÑOA"/>
    <s v="MM.ÑU.14"/>
    <s v="POR DIA DE FIN DE SEMANA"/>
    <s v="MILAGROS KARINA MONTOYA LOYO"/>
    <s v="Reparto Fin de semana"/>
    <n v="8000"/>
    <n v="10"/>
    <m/>
    <n v="10"/>
    <n v="80000"/>
    <x v="30"/>
    <x v="30"/>
    <x v="0"/>
    <s v="BRUTO"/>
    <s v="RETENCION"/>
    <s v="LIQUIDO A PAGAR"/>
    <n v="80000"/>
    <n v="0.1525"/>
    <n v="12200"/>
    <n v="67800"/>
    <s v="DEPOSITO"/>
    <s v="MILAGROS KARINA MONTOYA LOYO"/>
    <s v="22.969.573-8"/>
    <s v="FALABELLA"/>
    <s v="CUENTA VISTA"/>
    <n v="50012860868"/>
    <d v="2026-05-31T00:00:00"/>
    <s v="MAYO 2026"/>
    <d v="2026-06-15T00:00:00"/>
    <x v="30"/>
    <n v="0"/>
    <n v="67800"/>
    <s v="_Susc_BOL_MILAGROS_MONTOYA.PDF"/>
  </r>
  <r>
    <s v="PEÑALOLEN"/>
    <s v="Suscripciones"/>
    <s v="PEÑALOLEN"/>
    <s v="MM.MONITOR"/>
    <s v="POR DIA DE FIN DE SEMANA"/>
    <s v="MILAGROS KARINA MONTOYA LOYO"/>
    <s v="Monitoria Fin de Semana"/>
    <n v="30000"/>
    <n v="10"/>
    <m/>
    <n v="10"/>
    <n v="300000"/>
    <x v="30"/>
    <x v="30"/>
    <x v="0"/>
    <s v="BRUTO"/>
    <s v="RETENCION"/>
    <s v="LIQUIDO A PAGAR"/>
    <n v="300000"/>
    <n v="0.1525"/>
    <n v="45750"/>
    <n v="254250"/>
    <s v="DEPOSITO"/>
    <s v="MILAGROS KARINA MONTOYA LOYO"/>
    <s v="22.969.573-8"/>
    <s v="FALABELLA"/>
    <s v="CUENTA VISTA"/>
    <n v="50012860868"/>
    <d v="2026-05-31T00:00:00"/>
    <s v="MAYO 2026"/>
    <d v="2026-06-15T00:00:00"/>
    <x v="30"/>
    <n v="0"/>
    <n v="254250"/>
    <s v="_Susc_BOL_MILAGROS_MONTOYA.PDF"/>
  </r>
  <r>
    <s v="PEÑALOLEN"/>
    <s v="Suscripciones"/>
    <s v="PEÑALOLEN"/>
    <s v="MM.PE.03"/>
    <s v="POR DIA DE FIN DE SEMANA"/>
    <s v="MILAGROS KARINA MONTOYA LOYO"/>
    <s v="Reparto Fin de semana"/>
    <n v="26000"/>
    <n v="10"/>
    <m/>
    <n v="10"/>
    <n v="260000"/>
    <x v="30"/>
    <x v="30"/>
    <x v="0"/>
    <s v="BRUTO"/>
    <s v="RETENCION"/>
    <s v="LIQUIDO A PAGAR"/>
    <n v="260000"/>
    <n v="0.1525"/>
    <n v="39650"/>
    <n v="220350"/>
    <s v="DEPOSITO"/>
    <s v="MILAGROS KARINA MONTOYA LOYO"/>
    <s v="22.969.573-8"/>
    <s v="FALABELLA"/>
    <s v="CUENTA VISTA"/>
    <n v="50012860868"/>
    <d v="2026-05-31T00:00:00"/>
    <s v="MAYO 2026"/>
    <d v="2026-06-15T00:00:00"/>
    <x v="30"/>
    <n v="0"/>
    <n v="220350"/>
    <s v="_Susc_BOL_MILAGROS_MONTOYA.PDF"/>
  </r>
  <r>
    <s v="PEÑALOLEN"/>
    <s v="Suscripciones"/>
    <s v="PEÑALOLEN"/>
    <s v="MM.PE.01"/>
    <s v="POR DIA DE FIN DE SEMANA"/>
    <s v="MILAGROS KARINA MONTOYA LOYO"/>
    <s v="Reparto Fin de semana"/>
    <n v="14000"/>
    <n v="10"/>
    <m/>
    <n v="10"/>
    <n v="140000"/>
    <x v="30"/>
    <x v="30"/>
    <x v="0"/>
    <s v="BRUTO"/>
    <s v="RETENCION"/>
    <s v="LIQUIDO A PAGAR"/>
    <n v="140000"/>
    <n v="0.1525"/>
    <n v="21350"/>
    <n v="118650"/>
    <s v="DEPOSITO"/>
    <s v="MILAGROS KARINA MONTOYA LOYO"/>
    <s v="22.969.573-8"/>
    <s v="FALABELLA"/>
    <s v="CUENTA VISTA"/>
    <n v="50012860868"/>
    <d v="2026-05-31T00:00:00"/>
    <s v="MAYO 2026"/>
    <d v="2026-06-15T00:00:00"/>
    <x v="30"/>
    <n v="0"/>
    <n v="118650"/>
    <s v="_Susc_BOL_MILAGROS_MONTOYA.PDF"/>
  </r>
  <r>
    <s v="LA DEHESA"/>
    <s v="Suscripciones"/>
    <s v="LA DEHESA"/>
    <s v="MT.01"/>
    <s v="POR DIA DE FIN DE SEMANA"/>
    <s v="MOISES ALEJANDRO TARAZONA CARRION"/>
    <s v="Reparto Fin de semana"/>
    <n v="25000"/>
    <n v="10"/>
    <m/>
    <n v="10"/>
    <n v="250000"/>
    <x v="31"/>
    <x v="31"/>
    <x v="0"/>
    <s v="BRUTO"/>
    <s v="RETENCION"/>
    <s v="LIQUIDO A PAGAR"/>
    <n v="250000"/>
    <n v="0.1525"/>
    <n v="38125"/>
    <n v="211875"/>
    <s v="DEPOSITO"/>
    <s v="MOISES ALEJANDRO TARAZONA CARRION"/>
    <s v="21.311.553-7"/>
    <s v="BANCO BANCO ESTADO"/>
    <s v="CUENTA VISTA"/>
    <n v="213115537"/>
    <d v="2026-05-31T00:00:00"/>
    <s v="MAYO 2026"/>
    <d v="2026-06-15T00:00:00"/>
    <x v="31"/>
    <n v="0"/>
    <n v="211875"/>
    <s v="_Susc_BOL_MOISES_TARAZONA.PDF"/>
  </r>
  <r>
    <s v="LA DEHESA"/>
    <s v="Suscripciones"/>
    <s v="LA DEHESA"/>
    <s v="OR.01"/>
    <s v="POR DIA DE FIN DE SEMANA"/>
    <s v="ORLANDO ISRAEL RUMAY CHACON"/>
    <s v="Reparto Fin de semana"/>
    <n v="50000"/>
    <n v="10"/>
    <m/>
    <n v="10"/>
    <n v="500000"/>
    <x v="32"/>
    <x v="32"/>
    <x v="0"/>
    <s v="BRUTO"/>
    <s v="RETENCION"/>
    <s v="LIQUIDO A PAGAR"/>
    <n v="500000"/>
    <n v="0.1525"/>
    <n v="76250"/>
    <n v="423750"/>
    <s v="DEPOSITO"/>
    <s v="ORLANDO ISRAEL RUMAY CHACON"/>
    <s v="26.522.941-7"/>
    <s v="BANCO BANCO ESTADO"/>
    <s v="CUENTA VISTA"/>
    <n v="26522941"/>
    <d v="2026-05-31T00:00:00"/>
    <s v="MAYO 2026"/>
    <d v="2026-06-15T00:00:00"/>
    <x v="32"/>
    <n v="0"/>
    <n v="423750"/>
    <s v="_Susc_BOL_ORLANDO_RUMAY.PDF"/>
  </r>
  <r>
    <s v="VITACURA"/>
    <s v="Suscripciones"/>
    <s v="VITACURA"/>
    <s v="DO.01"/>
    <s v="POR DIA DE FIN DE SEMANA"/>
    <s v="DANIEL EDUARDO OSORES"/>
    <s v="Reparto Fin de semana"/>
    <n v="47500"/>
    <n v="10"/>
    <m/>
    <n v="10"/>
    <n v="475000"/>
    <x v="33"/>
    <x v="33"/>
    <x v="1"/>
    <s v="NETO"/>
    <s v="IMPUESTO"/>
    <s v="TOTAL"/>
    <n v="475000"/>
    <n v="0.19"/>
    <n v="90250"/>
    <n v="565250"/>
    <s v="DEPOSITO"/>
    <s v="PAMELA VICTORIA AZAGRA RUBIO"/>
    <s v="8.513.994-0"/>
    <s v="SECURITY"/>
    <s v="CUENTA CORRIENTE"/>
    <n v="201600101"/>
    <d v="2026-05-31T00:00:00"/>
    <s v="MAYO 2026"/>
    <d v="2026-06-15T00:00:00"/>
    <x v="33"/>
    <n v="0"/>
    <n v="565250"/>
    <s v="_Susc_FAC_PAMELA_AZAGRA.PDF"/>
  </r>
  <r>
    <s v="VITACURA"/>
    <s v="Suscripciones"/>
    <s v="VITACURA"/>
    <s v="PA.01"/>
    <s v="POR DIA DE FIN DE SEMANA"/>
    <s v="PAMELA VICTORIA AZAGRA RUBIO"/>
    <s v="Reparto Fin de semana"/>
    <n v="41000"/>
    <n v="10"/>
    <m/>
    <n v="10"/>
    <n v="410000"/>
    <x v="33"/>
    <x v="33"/>
    <x v="1"/>
    <s v="NETO"/>
    <s v="IMPUESTO"/>
    <s v="TOTAL"/>
    <n v="410000"/>
    <n v="0.19"/>
    <n v="77900"/>
    <n v="487900"/>
    <s v="DEPOSITO"/>
    <s v="PAMELA VICTORIA AZAGRA RUBIO"/>
    <s v="8.513.994-0"/>
    <s v="SECURITY"/>
    <s v="CUENTA CORRIENTE"/>
    <n v="201600101"/>
    <d v="2026-05-31T00:00:00"/>
    <s v="MAYO 2026"/>
    <d v="2026-06-15T00:00:00"/>
    <x v="33"/>
    <n v="0"/>
    <n v="487900"/>
    <s v="_Susc_FAC_PAMELA_AZAGRA.PDF"/>
  </r>
  <r>
    <s v="VITACURA"/>
    <s v="Suscripciones"/>
    <s v="VITACURA"/>
    <s v="PR.01"/>
    <s v="POR DIA DE FIN DE SEMANA"/>
    <s v="PATRICIO ALADINO RIQUELME LIEMPI"/>
    <s v="Reparto Fin de semana"/>
    <n v="47000"/>
    <n v="10"/>
    <n v="0"/>
    <n v="10"/>
    <n v="470000"/>
    <x v="34"/>
    <x v="34"/>
    <x v="1"/>
    <s v="NETO"/>
    <s v="IMPUESTO"/>
    <s v="TOTAL"/>
    <n v="470000"/>
    <n v="0.19"/>
    <n v="89300"/>
    <n v="559300"/>
    <s v="DEPOSITO"/>
    <s v="CLAUDIA EMPERATRIZ REYES SANTIBAÑEZ"/>
    <s v="77.656.334-K"/>
    <s v="BANCO BANCO ESTADO"/>
    <s v="CUENTA VISTA"/>
    <n v="13692859"/>
    <d v="2026-05-31T00:00:00"/>
    <s v="MAYO 2026"/>
    <d v="2026-06-15T00:00:00"/>
    <x v="34"/>
    <n v="0"/>
    <n v="559300"/>
    <s v="_Susc_FAC_PR_CLAUDIA_REYES.PDF"/>
  </r>
  <r>
    <s v="GALES"/>
    <s v="Suscripciones"/>
    <s v="GALES"/>
    <s v="GA.02"/>
    <s v="POR DIA DE FIN DE SEMANA"/>
    <s v="RODRIGO ENRIQUE PARDO JARAMILLO"/>
    <s v="Reparto Fin de semana"/>
    <n v="43000"/>
    <n v="10"/>
    <m/>
    <n v="10"/>
    <n v="430000"/>
    <x v="35"/>
    <x v="35"/>
    <x v="0"/>
    <s v="BRUTO"/>
    <s v="RETENCION"/>
    <s v="LIQUIDO A PAGAR"/>
    <n v="430000"/>
    <n v="0.1525"/>
    <n v="65575"/>
    <n v="364425"/>
    <s v="DEPOSITO"/>
    <s v="RODRIGO ENRIQUE PARDO JARAMILLO"/>
    <s v="12.266.802-9"/>
    <s v="BANCO BANCO ESTADO"/>
    <s v="CUENTA VISTA"/>
    <n v="12266802"/>
    <d v="2026-05-31T00:00:00"/>
    <s v="MAYO 2026"/>
    <d v="2026-06-15T00:00:00"/>
    <x v="35"/>
    <n v="0"/>
    <n v="364425"/>
    <s v="_Susc_BOL_RODRIGO_PARDO.PDF"/>
  </r>
  <r>
    <s v="LAS CONDES"/>
    <s v="Suscripciones"/>
    <s v="LAS CONDES"/>
    <s v="CS.LC.05"/>
    <s v="POR DIA DE FIN DE SEMANA"/>
    <s v="ROMOLO BACA HERRERA"/>
    <s v="Reparto Fin de semana"/>
    <n v="15000"/>
    <n v="10"/>
    <m/>
    <n v="10"/>
    <n v="150000"/>
    <x v="36"/>
    <x v="36"/>
    <x v="1"/>
    <s v="NETO"/>
    <s v="IMPUESTO"/>
    <s v="TOTAL"/>
    <n v="150000"/>
    <n v="0.19"/>
    <n v="28500"/>
    <n v="178500"/>
    <s v="DEPOSITO"/>
    <s v="ROMOLO BACA HERRERA"/>
    <s v="22.800.308-5"/>
    <s v="SANTANDER"/>
    <s v="CUENTA CORRIENTE"/>
    <n v="72055314"/>
    <d v="2026-05-31T00:00:00"/>
    <s v="MAYO 2026"/>
    <d v="2026-06-15T00:00:00"/>
    <x v="36"/>
    <n v="0"/>
    <n v="178500"/>
    <s v="_Susc_FAC_ROMOLO_BACA.PDF"/>
  </r>
  <r>
    <s v="LAS CONDES"/>
    <s v="Suscripciones"/>
    <s v="LAS CONDES"/>
    <s v="CS.LC.36"/>
    <s v="POR DIA DE FIN DE SEMANA"/>
    <s v="ROMOLO BACA HERRERA"/>
    <s v="Reparto Fin de semana"/>
    <n v="25000"/>
    <n v="10"/>
    <m/>
    <n v="10"/>
    <n v="250000"/>
    <x v="36"/>
    <x v="36"/>
    <x v="1"/>
    <s v="NETO"/>
    <s v="IMPUESTO"/>
    <s v="TOTAL"/>
    <n v="250000"/>
    <n v="0.19"/>
    <n v="47500"/>
    <n v="297500"/>
    <s v="DEPOSITO"/>
    <s v="ROMOLO BACA HERRERA"/>
    <s v="22.800.308-5"/>
    <s v="SANTANDER"/>
    <s v="CUENTA CORRIENTE"/>
    <n v="72055314"/>
    <d v="2026-05-31T00:00:00"/>
    <s v="MAYO 2026"/>
    <d v="2026-06-15T00:00:00"/>
    <x v="36"/>
    <n v="0"/>
    <n v="297500"/>
    <s v="_Susc_FAC_ROMOLO_BACA.PDF"/>
  </r>
  <r>
    <s v="LAS CONDES"/>
    <s v="Suscripciones"/>
    <s v="LAS CONDES"/>
    <s v="CS.SD.01"/>
    <s v="POR DIA DE FIN DE SEMANA"/>
    <s v="ROMOLO BACA HERRERA"/>
    <s v="Reparto Fin de semana"/>
    <n v="20000"/>
    <n v="10"/>
    <m/>
    <n v="10"/>
    <n v="200000"/>
    <x v="36"/>
    <x v="36"/>
    <x v="1"/>
    <s v="NETO"/>
    <s v="IMPUESTO"/>
    <s v="TOTAL"/>
    <n v="200000"/>
    <n v="0.19"/>
    <n v="38000"/>
    <n v="238000"/>
    <s v="DEPOSITO"/>
    <s v="ROMOLO BACA HERRERA"/>
    <s v="22.800.308-5"/>
    <s v="SANTANDER"/>
    <s v="CUENTA CORRIENTE"/>
    <n v="72055314"/>
    <d v="2026-05-31T00:00:00"/>
    <s v="MAYO 2026"/>
    <d v="2026-06-15T00:00:00"/>
    <x v="36"/>
    <n v="0"/>
    <n v="238000"/>
    <s v="_Susc_FAC_ROMOLO_BACA.PDF"/>
  </r>
  <r>
    <s v="LAS CONDES"/>
    <s v="Suscripciones"/>
    <s v="LAS CONDES"/>
    <s v="CO.LC.33"/>
    <s v="POR DIA DE FIN DE SEMANA"/>
    <s v="ROMOLO BACA HERRERA"/>
    <s v="Reparto Fin de semana"/>
    <n v="15000"/>
    <n v="10"/>
    <m/>
    <n v="10"/>
    <n v="150000"/>
    <x v="36"/>
    <x v="36"/>
    <x v="1"/>
    <s v="NETO"/>
    <s v="IMPUESTO"/>
    <s v="TOTAL"/>
    <n v="150000"/>
    <n v="0.19"/>
    <n v="28500"/>
    <n v="178500"/>
    <s v="DEPOSITO"/>
    <s v="ROMOLO BACA HERRERA"/>
    <s v="22.800.308-5"/>
    <s v="SANTANDER"/>
    <s v="CUENTA CORRIENTE"/>
    <n v="72055314"/>
    <d v="2026-05-31T00:00:00"/>
    <s v="MAYO 2026"/>
    <d v="2026-06-15T00:00:00"/>
    <x v="36"/>
    <n v="0"/>
    <n v="178500"/>
    <s v="_Susc_FAC_ROMOLO_BACA.PDF"/>
  </r>
  <r>
    <s v="LAS CONDES"/>
    <s v="Suscripciones"/>
    <s v="LAS CONDES"/>
    <s v="CT.MONITOR"/>
    <s v="FIJO MENSUAL"/>
    <s v="ROMOLO BACA HERRERA"/>
    <s v="Monitoria Fin de Semana"/>
    <n v="175000"/>
    <n v="1"/>
    <m/>
    <n v="1"/>
    <n v="175000"/>
    <x v="36"/>
    <x v="36"/>
    <x v="1"/>
    <s v="NETO"/>
    <s v="IMPUESTO"/>
    <s v="TOTAL"/>
    <n v="175000"/>
    <n v="0.19"/>
    <n v="33250"/>
    <n v="208250"/>
    <s v="DEPOSITO"/>
    <s v="ROMOLO BACA HERRERA"/>
    <s v="22.800.308-5"/>
    <s v="SANTANDER"/>
    <s v="CUENTA CORRIENTE"/>
    <n v="72055314"/>
    <d v="2026-05-31T00:00:00"/>
    <s v="MAYO 2026"/>
    <d v="2026-06-15T00:00:00"/>
    <x v="36"/>
    <n v="0"/>
    <n v="208250"/>
    <s v="_Susc_FAC_ROMOLO_BACA.PDF"/>
  </r>
  <r>
    <s v="LAS CONDES"/>
    <s v="Suscripciones"/>
    <s v="LAS CONDES"/>
    <s v="FG.LC.30"/>
    <s v="POR DIA DE FIN DE SEMANA"/>
    <s v="ROMOLO BACA HERRERA"/>
    <s v="Reparto Fin de semana"/>
    <n v="25000"/>
    <n v="10"/>
    <m/>
    <n v="10"/>
    <n v="250000"/>
    <x v="36"/>
    <x v="36"/>
    <x v="1"/>
    <s v="NETO"/>
    <s v="IMPUESTO"/>
    <s v="TOTAL"/>
    <n v="250000"/>
    <n v="0.19"/>
    <n v="47500"/>
    <n v="297500"/>
    <s v="DEPOSITO"/>
    <s v="ROMOLO BACA HERRERA"/>
    <s v="22.800.308-5"/>
    <s v="SANTANDER"/>
    <s v="CUENTA CORRIENTE"/>
    <n v="72055314"/>
    <d v="2026-05-31T00:00:00"/>
    <s v="MAYO 2026"/>
    <d v="2026-06-15T00:00:00"/>
    <x v="36"/>
    <n v="0"/>
    <n v="297500"/>
    <s v="_Susc_FAC_ROMOLO_BACA.PDF"/>
  </r>
  <r>
    <s v="LAS CONDES"/>
    <s v="Suscripciones"/>
    <s v="LAS CONDES"/>
    <s v="MP.LC.29"/>
    <s v="POR DIA DE FIN DE SEMANA"/>
    <s v="ROMOLO BACA HERRERA"/>
    <s v="Reparto Fin de semana"/>
    <n v="15000"/>
    <n v="10"/>
    <m/>
    <n v="10"/>
    <n v="150000"/>
    <x v="36"/>
    <x v="36"/>
    <x v="1"/>
    <s v="NETO"/>
    <s v="IMPUESTO"/>
    <s v="TOTAL"/>
    <n v="150000"/>
    <n v="0.19"/>
    <n v="28500"/>
    <n v="178500"/>
    <s v="DEPOSITO"/>
    <s v="ROMOLO BACA HERRERA"/>
    <s v="22.800.308-5"/>
    <s v="SANTANDER"/>
    <s v="CUENTA CORRIENTE"/>
    <n v="72055314"/>
    <d v="2026-05-31T00:00:00"/>
    <s v="MAYO 2026"/>
    <d v="2026-06-15T00:00:00"/>
    <x v="36"/>
    <n v="0"/>
    <n v="178500"/>
    <s v="_Susc_FAC_ROMOLO_BACA.PDF"/>
  </r>
  <r>
    <s v="LAS CONDES"/>
    <s v="Suscripciones"/>
    <s v="LAS CONDES"/>
    <s v="RB.SD.06"/>
    <s v="POR DIA DE FIN DE SEMANA"/>
    <s v="ROMOLO BACA HERRERA"/>
    <s v="Reparto Fin de semana"/>
    <n v="30000"/>
    <n v="10"/>
    <m/>
    <n v="10"/>
    <n v="300000"/>
    <x v="36"/>
    <x v="36"/>
    <x v="1"/>
    <s v="NETO"/>
    <s v="IMPUESTO"/>
    <s v="TOTAL"/>
    <n v="300000"/>
    <n v="0.19"/>
    <n v="57000"/>
    <n v="357000"/>
    <s v="DEPOSITO"/>
    <s v="ROMOLO BACA HERRERA"/>
    <s v="22.800.308-5"/>
    <s v="SANTANDER"/>
    <s v="CUENTA CORRIENTE"/>
    <n v="72055314"/>
    <d v="2026-05-31T00:00:00"/>
    <s v="MAYO 2026"/>
    <d v="2026-06-15T00:00:00"/>
    <x v="36"/>
    <n v="0"/>
    <n v="357000"/>
    <s v="_Susc_FAC_ROMOLO_BACA.PDF"/>
  </r>
  <r>
    <s v="LAS CONDES"/>
    <s v="Suscripciones"/>
    <s v="LAS CONDES"/>
    <s v="DJ.SD.02"/>
    <s v="POR DIA DE FIN DE SEMANA"/>
    <s v="ROMOLO BACA HERRERA"/>
    <s v="Reparto Fin de semana"/>
    <n v="25000"/>
    <n v="10"/>
    <m/>
    <n v="10"/>
    <n v="250000"/>
    <x v="36"/>
    <x v="36"/>
    <x v="1"/>
    <s v="NETO"/>
    <s v="IMPUESTO"/>
    <s v="TOTAL"/>
    <n v="250000"/>
    <n v="0.19"/>
    <n v="47500"/>
    <n v="297500"/>
    <s v="DEPOSITO"/>
    <s v="ROMOLO BACA HERRERA"/>
    <s v="22.800.308-5"/>
    <s v="SANTANDER"/>
    <s v="CUENTA CORRIENTE"/>
    <n v="72055314"/>
    <d v="2026-05-31T00:00:00"/>
    <s v="MAYO 2026"/>
    <d v="2026-06-15T00:00:00"/>
    <x v="36"/>
    <n v="0"/>
    <n v="297500"/>
    <s v="_Susc_FAC_ROMOLO_BACA.PDF"/>
  </r>
  <r>
    <s v="LAS CONDES"/>
    <s v="Suscripciones"/>
    <s v="LAS CONDES"/>
    <s v="AF.LC.16"/>
    <s v="POR DIA DE FIN DE SEMANA"/>
    <s v="ROMOLO BACA HERRERA"/>
    <s v="Reparto Fin de semana"/>
    <n v="30000"/>
    <n v="10"/>
    <m/>
    <n v="10"/>
    <n v="300000"/>
    <x v="36"/>
    <x v="36"/>
    <x v="1"/>
    <s v="NETO"/>
    <s v="IMPUESTO"/>
    <s v="TOTAL"/>
    <n v="300000"/>
    <n v="0.19"/>
    <n v="57000"/>
    <n v="357000"/>
    <s v="DEPOSITO"/>
    <s v="ROMOLO BACA HERRERA"/>
    <s v="22.800.308-5"/>
    <s v="SANTANDER"/>
    <s v="CUENTA CORRIENTE"/>
    <n v="72055314"/>
    <d v="2026-05-31T00:00:00"/>
    <s v="MAYO 2026"/>
    <d v="2026-06-15T00:00:00"/>
    <x v="36"/>
    <n v="0"/>
    <n v="357000"/>
    <s v="_Susc_FAC_ROMOLO_BACA.PDF"/>
  </r>
  <r>
    <s v="LAS CONDES"/>
    <s v="Suscripciones"/>
    <s v="LAS CONDES"/>
    <s v="FP.SD.05"/>
    <s v="POR DIA DE FIN DE SEMANA"/>
    <s v="FABIAN ANTONIO PONCE OLAVE"/>
    <s v="Reparto Fin de semana"/>
    <n v="43000"/>
    <n v="10"/>
    <m/>
    <n v="10"/>
    <n v="430000"/>
    <x v="37"/>
    <x v="37"/>
    <x v="1"/>
    <s v="NETO"/>
    <s v="IMPUESTO"/>
    <s v="TOTAL"/>
    <n v="430000"/>
    <n v="0.19"/>
    <n v="81700"/>
    <n v="511700"/>
    <s v="DEPOSITO"/>
    <s v="ROSA ELIANA CORTES LEON"/>
    <s v="9.579.144-1"/>
    <s v="BANCO BANCO ESTADO"/>
    <s v="CUENTA VISTA"/>
    <n v="9579144"/>
    <d v="2026-05-31T00:00:00"/>
    <s v="MAYO 2026"/>
    <d v="2026-06-15T00:00:00"/>
    <x v="37"/>
    <n v="0"/>
    <n v="511700"/>
    <s v="_Susc_FAC_ROSA_CORTES.PDF"/>
  </r>
  <r>
    <s v="VITACURA"/>
    <s v="Suscripciones"/>
    <s v="VITACURA"/>
    <s v="MONITOR"/>
    <s v="POR DIA DE FIN DE SEMANA"/>
    <s v="CLAUDIA EMPERATRIZ REYES SANTIBAÑEZ"/>
    <s v="Monitoria Fin de Semana"/>
    <n v="35000"/>
    <n v="10"/>
    <m/>
    <n v="10"/>
    <n v="350000"/>
    <x v="34"/>
    <x v="34"/>
    <x v="1"/>
    <s v="NETO"/>
    <s v="IMPUESTO"/>
    <s v="TOTAL"/>
    <n v="350000"/>
    <n v="0.19"/>
    <n v="66500"/>
    <n v="416500"/>
    <s v="DEPOSITO"/>
    <s v="CLAUDIA EMPERATRIZ REYES SANTIBAÑEZ"/>
    <s v="77.656.334-K"/>
    <s v="BANCO BANCO ESTADO"/>
    <s v="CUENTA VISTA"/>
    <n v="13692859"/>
    <d v="2026-05-31T00:00:00"/>
    <s v="MAYO 2026"/>
    <d v="2026-06-15T00:00:00"/>
    <x v="38"/>
    <n v="0"/>
    <n v="416500"/>
    <s v="_Susc_FAC_CLAUDIA_REYES.PDF"/>
  </r>
  <r>
    <s v="VITACURA"/>
    <s v="Suscripciones"/>
    <s v="VITACURA"/>
    <s v="CR.01"/>
    <s v="POR DIA DE FIN DE SEMANA"/>
    <s v="CLAUDIA EMPERATRIZ REYES SANTIBAÑEZ"/>
    <s v="Reparto Fin de semana"/>
    <n v="30000"/>
    <n v="10"/>
    <m/>
    <n v="10"/>
    <n v="300000"/>
    <x v="34"/>
    <x v="34"/>
    <x v="1"/>
    <s v="NETO"/>
    <s v="IMPUESTO"/>
    <s v="TOTAL"/>
    <n v="300000"/>
    <n v="0.19"/>
    <n v="57000"/>
    <n v="357000"/>
    <s v="DEPOSITO"/>
    <s v="CLAUDIA EMPERATRIZ REYES SANTIBAÑEZ"/>
    <s v="77.656.334-K"/>
    <s v="BANCO BANCO ESTADO"/>
    <s v="CUENTA VISTA"/>
    <n v="13692859"/>
    <d v="2026-05-31T00:00:00"/>
    <s v="MAYO 2026"/>
    <d v="2026-06-15T00:00:00"/>
    <x v="38"/>
    <n v="0"/>
    <n v="357000"/>
    <s v="_Susc_FAC_CLAUDIA_REYES.PDF"/>
  </r>
  <r>
    <s v="VITACURA"/>
    <s v="Suscripciones"/>
    <s v="VITACURA"/>
    <s v="BH.01, 02, 03"/>
    <s v="REEMPLAZO"/>
    <s v="CLAUDIA EMPERATRIZ REYES SANTIBAÑEZ"/>
    <s v="Reparto Fin de semana"/>
    <n v="60500"/>
    <n v="1"/>
    <m/>
    <n v="2"/>
    <n v="121000"/>
    <x v="34"/>
    <x v="34"/>
    <x v="1"/>
    <s v="NETO"/>
    <s v="IMPUESTO"/>
    <s v="TOTAL"/>
    <n v="121000"/>
    <n v="0.19"/>
    <n v="22990"/>
    <n v="143990"/>
    <s v="DEPOSITO"/>
    <s v="CLAUDIA EMPERATRIZ REYES SANTIBAÑEZ"/>
    <s v="77.656.334-K"/>
    <s v="BANCO BANCO ESTADO"/>
    <s v="CUENTA VISTA"/>
    <n v="13692859"/>
    <d v="2026-05-31T00:00:00"/>
    <s v="MAYO 2026"/>
    <d v="2026-06-15T00:00:00"/>
    <x v="38"/>
    <n v="0"/>
    <n v="143990"/>
    <s v="_Susc_FAC_CLAUDIA_REYES.PDF"/>
  </r>
  <r>
    <s v="VITACURA"/>
    <s v="Suscripciones"/>
    <s v="VITACURA"/>
    <s v="NR.01"/>
    <s v="POR DIA DE FIN DE SEMANA"/>
    <s v="NADIA ANDREA DE LOS URDES REYES PAUZOCA"/>
    <s v="Reparto Fin de semana"/>
    <n v="14000"/>
    <n v="10"/>
    <m/>
    <n v="10"/>
    <n v="140000"/>
    <x v="34"/>
    <x v="34"/>
    <x v="1"/>
    <s v="NETO"/>
    <s v="IMPUESTO"/>
    <s v="TOTAL"/>
    <n v="140000"/>
    <n v="0.19"/>
    <n v="26600"/>
    <n v="166600"/>
    <s v="DEPOSITO"/>
    <s v="CLAUDIA EMPERATRIZ REYES SANTIBAÑEZ"/>
    <s v="77.656.334-K"/>
    <s v="BANCO BANCO ESTADO"/>
    <s v="CUENTA VISTA"/>
    <n v="13692859"/>
    <d v="2026-05-31T00:00:00"/>
    <s v="MAYO 2026"/>
    <d v="2026-06-15T00:00:00"/>
    <x v="38"/>
    <n v="0"/>
    <n v="166600"/>
    <s v="_Susc_FAC_CLAUDIA_REYES.PDF"/>
  </r>
  <r>
    <s v="GALES"/>
    <s v="Suscripciones"/>
    <s v="GALES"/>
    <s v="GA.07"/>
    <s v="POR DIA DE FIN DE SEMANA"/>
    <s v="SEBASTIAN LUPERCIO CASTRO PIZARRO"/>
    <s v="Reparto Fin de semana"/>
    <n v="40000"/>
    <n v="10"/>
    <m/>
    <n v="10"/>
    <n v="400000"/>
    <x v="38"/>
    <x v="38"/>
    <x v="0"/>
    <s v="BRUTO"/>
    <s v="RETENCION"/>
    <s v="LIQUIDO A PAGAR"/>
    <n v="400000"/>
    <n v="0.1525"/>
    <n v="61000"/>
    <n v="339000"/>
    <s v="DEPOSITO"/>
    <s v="SEBASTIAN LUPERCIO CASTRO PIZARRO"/>
    <s v="12.638.696-6"/>
    <s v="BANCO BANCO ESTADO"/>
    <s v="CUENTA VISTA"/>
    <n v="12638696"/>
    <d v="2026-05-31T00:00:00"/>
    <s v="MAYO 2026"/>
    <d v="2026-06-15T00:00:00"/>
    <x v="39"/>
    <n v="0"/>
    <n v="339000"/>
    <s v="_Susc_BOL_SEBASTIAN_CASTRO.PDF"/>
  </r>
  <r>
    <s v="LAS CONDES"/>
    <s v="Suscripciones"/>
    <s v="LAS CONDES"/>
    <s v="FE.SD.03"/>
    <s v="POR DIA DE FIN DE SEMANA"/>
    <s v="FLAVIO HERNAN ESCARATE GODOY"/>
    <s v="Reparto Fin de semana"/>
    <n v="33000"/>
    <n v="10"/>
    <m/>
    <n v="10"/>
    <n v="330000"/>
    <x v="39"/>
    <x v="39"/>
    <x v="1"/>
    <s v="NETO"/>
    <s v="IMPUESTO"/>
    <s v="TOTAL"/>
    <n v="330000"/>
    <n v="0.19"/>
    <n v="62700"/>
    <n v="392700"/>
    <s v="DEPOSITO"/>
    <s v="FLAVIO ESCARATE GODOY"/>
    <s v="15.334.093-5"/>
    <s v="BANCO BANCO ESTADO"/>
    <s v="CUENTA VISTA"/>
    <n v="15334093"/>
    <d v="2026-05-31T00:00:00"/>
    <s v="MAYO 2026"/>
    <d v="2026-06-15T00:00:00"/>
    <x v="40"/>
    <n v="0"/>
    <n v="392700"/>
    <s v="_Susc_FAC_SKY_JUAN_JERIA.PDF"/>
  </r>
  <r>
    <s v="LAS CONDES"/>
    <s v="Suscripciones"/>
    <s v="LAS CONDES"/>
    <s v="FE.SD.08"/>
    <s v="POR DIA DE FIN DE SEMANA"/>
    <s v="FLAVIO HERNAN ESCARATE GODOY"/>
    <s v="Reparto Fin de semana"/>
    <n v="48000"/>
    <n v="10"/>
    <m/>
    <n v="10"/>
    <n v="480000"/>
    <x v="39"/>
    <x v="39"/>
    <x v="1"/>
    <s v="NETO"/>
    <s v="IMPUESTO"/>
    <s v="TOTAL"/>
    <n v="480000"/>
    <n v="0.19"/>
    <n v="91200"/>
    <n v="571200"/>
    <s v="DEPOSITO"/>
    <s v="FLAVIO ESCARATE GODOY"/>
    <s v="15.334.093-5"/>
    <s v="BANCO BANCO ESTADO"/>
    <s v="CUENTA VISTA"/>
    <n v="15334093"/>
    <d v="2026-05-31T00:00:00"/>
    <s v="MAYO 2026"/>
    <d v="2026-06-15T00:00:00"/>
    <x v="40"/>
    <n v="0"/>
    <n v="571200"/>
    <s v="_Susc_FAC_SKY_JUAN_JERIA.PDF"/>
  </r>
  <r>
    <s v="VITACURA"/>
    <s v="Suscripciones"/>
    <s v="VITACURA"/>
    <s v="VC.01"/>
    <s v="POR DIA DE FIN DE SEMANA"/>
    <s v="VICTOR JESUS CORNEJO ASCENCIO"/>
    <s v="Reparto Fin de semana"/>
    <n v="28000"/>
    <n v="10"/>
    <m/>
    <n v="10"/>
    <n v="280000"/>
    <x v="40"/>
    <x v="40"/>
    <x v="0"/>
    <s v="BRUTO"/>
    <s v="RETENCION"/>
    <s v="LIQUIDO A PAGAR"/>
    <n v="280000"/>
    <n v="0.1525"/>
    <n v="42700"/>
    <n v="237300"/>
    <s v="DEPOSITO"/>
    <s v="VICTOR JESUS CORNEJO ASCENCIO"/>
    <s v="7.207.425-4"/>
    <s v="BANCO BANCO ESTADO"/>
    <s v="CUENTA VISTA"/>
    <n v="7207425"/>
    <d v="2026-05-31T00:00:00"/>
    <s v="MAYO 2026"/>
    <d v="2026-06-15T00:00:00"/>
    <x v="41"/>
    <n v="0"/>
    <n v="237300"/>
    <s v="_Susc_BOL_VICTOR_CORNEJO.PDF"/>
  </r>
  <r>
    <s v="VITACURA"/>
    <s v="Suscripciones"/>
    <s v="VITACURA"/>
    <s v="VC.02"/>
    <s v="POR DIA DE FIN DE SEMANA"/>
    <s v="VICTOR JESUS CORNEJO ASCENCIO"/>
    <s v="Reparto Fin de semana"/>
    <n v="15000"/>
    <n v="10"/>
    <m/>
    <n v="10"/>
    <n v="150000"/>
    <x v="40"/>
    <x v="40"/>
    <x v="0"/>
    <s v="BRUTO"/>
    <s v="RETENCION"/>
    <s v="LIQUIDO A PAGAR"/>
    <n v="150000"/>
    <n v="0.1525"/>
    <n v="22875"/>
    <n v="127125"/>
    <s v="DEPOSITO"/>
    <s v="VICTOR JESUS CORNEJO ASCENCIO"/>
    <s v="7.207.425-4"/>
    <s v="BANCO BANCO ESTADO"/>
    <s v="CUENTA VISTA"/>
    <n v="7207425"/>
    <d v="2026-05-31T00:00:00"/>
    <s v="MAYO 2026"/>
    <d v="2026-06-15T00:00:00"/>
    <x v="41"/>
    <n v="0"/>
    <n v="127125"/>
    <s v="_Susc_BOL_VICTOR_CORNEJO.PDF"/>
  </r>
  <r>
    <s v="VITACURA"/>
    <s v="Suscripciones"/>
    <s v="VITACURA"/>
    <s v="VCH.01"/>
    <s v="POR DIA DE FIN DE SEMANA"/>
    <s v="VICTOR LUIS CHUQUIPOMA MANTILLA"/>
    <s v="Reparto Fin de semana"/>
    <n v="20000"/>
    <n v="10"/>
    <m/>
    <n v="10"/>
    <n v="200000"/>
    <x v="41"/>
    <x v="41"/>
    <x v="1"/>
    <s v="NETO"/>
    <s v="IMPUESTO"/>
    <s v="TOTAL"/>
    <n v="200000"/>
    <n v="0.19"/>
    <n v="38000"/>
    <n v="238000"/>
    <s v="DEPOSITO"/>
    <s v="VICTOR LUIS CHUQUIPOMA MANTILLA"/>
    <s v="22.972.066-K"/>
    <s v="BANCO BANCO ESTADO"/>
    <s v="CUENTA VISTA"/>
    <n v="34871476324"/>
    <d v="2026-05-31T00:00:00"/>
    <s v="MAYO 2026"/>
    <d v="2026-06-15T00:00:00"/>
    <x v="42"/>
    <n v="0"/>
    <n v="238000"/>
    <s v="_Susc_FAC_VICTOR_CHUQUIPOMA.PDF"/>
  </r>
  <r>
    <s v="VITACURA"/>
    <s v="Suscripciones"/>
    <s v="VITACURA"/>
    <s v="VCH.02"/>
    <s v="POR DIA DE FIN DE SEMANA"/>
    <s v="VICTOR LUIS CHUQUIPOMA MANTILLA"/>
    <s v="Reparto Fin de semana"/>
    <n v="20000"/>
    <n v="10"/>
    <m/>
    <n v="10"/>
    <n v="200000"/>
    <x v="41"/>
    <x v="41"/>
    <x v="1"/>
    <s v="NETO"/>
    <s v="IMPUESTO"/>
    <s v="TOTAL"/>
    <n v="200000"/>
    <n v="0.19"/>
    <n v="38000"/>
    <n v="238000"/>
    <s v="DEPOSITO"/>
    <s v="VICTOR LUIS CHUQUIPOMA MANTILLA"/>
    <s v="22.972.066-K"/>
    <s v="BANCO BANCO ESTADO"/>
    <s v="CUENTA VISTA"/>
    <n v="34871476324"/>
    <d v="2026-05-31T00:00:00"/>
    <s v="MAYO 2026"/>
    <d v="2026-06-15T00:00:00"/>
    <x v="42"/>
    <n v="0"/>
    <n v="238000"/>
    <s v="_Susc_FAC_VICTOR_CHUQUIPOMA.PDF"/>
  </r>
  <r>
    <s v="PLAZA OESTE 1"/>
    <s v="Suscripciones"/>
    <s v="PLAZA OESTE"/>
    <s v="CR.01"/>
    <s v="POR DIA DE FIN DE SEMANA"/>
    <s v="CRISTIAN RUBILAR"/>
    <s v="Reparto Fin de semana"/>
    <n v="110000"/>
    <n v="10"/>
    <m/>
    <n v="10"/>
    <n v="1100000"/>
    <x v="42"/>
    <x v="42"/>
    <x v="1"/>
    <s v="NETO"/>
    <s v="IMPUESTO"/>
    <s v="TOTAL"/>
    <n v="1100000"/>
    <n v="0.19"/>
    <n v="209000"/>
    <n v="1309000"/>
    <s v="DEPOSITO"/>
    <s v="Ernesto Martinez Cornejo"/>
    <s v="14131790-3"/>
    <s v="FALABELLA"/>
    <s v="CUENTA CORRIENTE"/>
    <n v="15560025666"/>
    <d v="2026-05-31T00:00:00"/>
    <s v="MAYO 2026"/>
    <d v="2026-06-15T00:00:00"/>
    <x v="43"/>
    <n v="0"/>
    <n v="1309000"/>
    <s v="_Susc_FAC_CRISTIAN_RUBILAR.PDF"/>
  </r>
  <r>
    <s v="PLAZA OESTE 1"/>
    <s v="Suscripciones"/>
    <s v="PLAZA OESTE"/>
    <s v="CA.01"/>
    <s v="POR DIA DE FIN DE SEMANA"/>
    <s v="CECILIA LILIANA ALARCON ORTIZ"/>
    <s v="Reparto Fin de semana"/>
    <n v="75000"/>
    <n v="10"/>
    <m/>
    <n v="10"/>
    <n v="750000"/>
    <x v="43"/>
    <x v="43"/>
    <x v="1"/>
    <s v="NETO"/>
    <s v="IMPUESTO"/>
    <s v="TOTAL"/>
    <n v="750000"/>
    <n v="0.19"/>
    <n v="142500"/>
    <n v="892500"/>
    <s v="DEPOSITO"/>
    <s v="CECILIA LILIANA ALARCON ORTIZ"/>
    <s v="10.551.402-6"/>
    <s v="BANCO BANCO ESTADO"/>
    <s v="CUENTA RUT"/>
    <n v="10551402"/>
    <d v="2026-05-31T00:00:00"/>
    <s v="MAYO 2026"/>
    <d v="2026-06-15T00:00:00"/>
    <x v="44"/>
    <n v="0"/>
    <n v="892500"/>
    <s v="_Susc_FAC_CECILIA_ALARCON.PDF"/>
  </r>
  <r>
    <s v="PLAZA OESTE 2"/>
    <s v="Suscripciones"/>
    <s v="PLAZA OESTE"/>
    <s v="MONITOR"/>
    <s v="POR DIA DE FIN DE SEMANA"/>
    <s v="JEANNETTE JAQUELINE MEDINA SILVA"/>
    <s v="Monitoria Fin de Semana"/>
    <n v="20000"/>
    <n v="10"/>
    <m/>
    <n v="10"/>
    <n v="200000"/>
    <x v="44"/>
    <x v="44"/>
    <x v="0"/>
    <s v="BRUTO"/>
    <s v="RETENCION"/>
    <s v="LIQUIDO A PAGAR"/>
    <n v="200000"/>
    <n v="0.1525"/>
    <n v="30500"/>
    <n v="169500"/>
    <s v="DEPOSITO"/>
    <s v="JEANNETTE JAQUELINE MEDINA SILVA"/>
    <s v="10.111.449-K"/>
    <s v="BANCO BANCO CHILE"/>
    <s v="CUENTA VISTA"/>
    <n v="102715279"/>
    <d v="2026-05-31T00:00:00"/>
    <s v="MAYO 2026"/>
    <d v="2026-06-15T00:00:00"/>
    <x v="45"/>
    <n v="0"/>
    <n v="169500"/>
    <s v="_Susc_BOL_JEANNETTE_MEDINA.PDF"/>
  </r>
  <r>
    <s v="PLAZA OESTE 2"/>
    <s v="Suscripciones"/>
    <s v="PLAZA OESTE"/>
    <s v="JM.01"/>
    <s v="POR DIA DE FIN DE SEMANA"/>
    <s v="JEANNETTE JAQUELINE MEDINA SILVA"/>
    <s v="Reparto Fin de semana"/>
    <n v="97500"/>
    <n v="10"/>
    <m/>
    <n v="10"/>
    <n v="975000"/>
    <x v="44"/>
    <x v="44"/>
    <x v="0"/>
    <s v="BRUTO"/>
    <s v="RETENCION"/>
    <s v="LIQUIDO A PAGAR"/>
    <n v="975000"/>
    <n v="0.1525"/>
    <n v="148687.5"/>
    <n v="826312"/>
    <s v="DEPOSITO"/>
    <s v="JEANNETTE JAQUELINE MEDINA SILVA"/>
    <s v="10.111.449-K"/>
    <s v="BANCO BANCO CHILE"/>
    <s v="CUENTA VISTA"/>
    <n v="102715279"/>
    <d v="2026-05-31T00:00:00"/>
    <s v="MAYO 2026"/>
    <d v="2026-06-15T00:00:00"/>
    <x v="45"/>
    <n v="0"/>
    <n v="826312"/>
    <s v="_Susc_BOL_JEANNETTE_MEDINA.PDF"/>
  </r>
  <r>
    <s v="PLAZA OESTE 2"/>
    <s v="Suscripciones"/>
    <s v="PLAZA OESTE"/>
    <s v="RA.01"/>
    <s v="POR DIA DE FIN DE SEMANA"/>
    <s v="RAMIRO MANUEL ACUÑA GALLARDO"/>
    <s v="Reparto Fin de semana"/>
    <n v="90000"/>
    <n v="10"/>
    <m/>
    <n v="10"/>
    <n v="900000"/>
    <x v="45"/>
    <x v="45"/>
    <x v="0"/>
    <s v="BRUTO"/>
    <s v="RETENCION"/>
    <s v="LIQUIDO A PAGAR"/>
    <n v="900000"/>
    <n v="0.1525"/>
    <n v="137250"/>
    <n v="762750"/>
    <s v="DEPOSITO"/>
    <s v="RAMIRO MANUEL ACUÑA GALLARDO"/>
    <s v="11.848.747-8"/>
    <s v="BANCO ESTADO"/>
    <s v="CUENTA RUT"/>
    <n v="11848747"/>
    <d v="2026-05-31T00:00:00"/>
    <s v="MAYO 2026"/>
    <d v="2026-06-15T00:00:00"/>
    <x v="46"/>
    <n v="0"/>
    <n v="762750"/>
    <s v="_Susc_BOL_RAMIRO_ACUÑA.PDF"/>
  </r>
  <r>
    <s v="PLAZA OESTE 2"/>
    <s v="Suscripciones"/>
    <s v="PLAZA OESTE"/>
    <s v="JP.01"/>
    <s v="POR DIA DE FIN DE SEMANA"/>
    <s v="JAIME ENQRIQUE PINTO DIAZ"/>
    <s v="Reparto Fin de semana"/>
    <n v="55000"/>
    <n v="10"/>
    <m/>
    <n v="10"/>
    <n v="550000"/>
    <x v="46"/>
    <x v="46"/>
    <x v="1"/>
    <s v="NETO"/>
    <s v="IMPUESTO"/>
    <s v="TOTAL"/>
    <n v="550000"/>
    <n v="0.19"/>
    <n v="104500"/>
    <n v="654500"/>
    <s v="DEPOSITO"/>
    <s v="JAIME ENQRIQUE PINTO DIAZ"/>
    <s v="12.679.150-K"/>
    <s v="FALABELLA"/>
    <s v="CUENTA CORRIENTE"/>
    <n v="19997714060"/>
    <d v="2026-05-31T00:00:00"/>
    <s v="MAYO 2026"/>
    <d v="2026-06-15T00:00:00"/>
    <x v="47"/>
    <n v="0"/>
    <n v="654500"/>
    <s v="_Susc_FAC_JAIME_PINTO.PDF"/>
  </r>
  <r>
    <s v="PLAZA OESTE 2"/>
    <s v="Suscripciones"/>
    <s v="PLAZA OESTE"/>
    <s v="JM.01"/>
    <s v="POR DIA DE FIN DE SEMANA"/>
    <s v="JAIME ENQRIQUE PINTO DIAZ"/>
    <s v="Reparto Fin de semana"/>
    <n v="30000"/>
    <n v="10"/>
    <m/>
    <n v="10"/>
    <n v="300000"/>
    <x v="46"/>
    <x v="46"/>
    <x v="1"/>
    <s v="NETO"/>
    <s v="IMPUESTO"/>
    <s v="TOTAL"/>
    <n v="300000"/>
    <n v="0.19"/>
    <n v="57000"/>
    <n v="357000"/>
    <s v="DEPOSITO"/>
    <s v="JAIME ENQRIQUE PINTO DIAZ"/>
    <s v="12.679.150-K"/>
    <s v="FALABELLA"/>
    <s v="CUENTA CORRIENTE"/>
    <n v="19997714060"/>
    <d v="2026-05-31T00:00:00"/>
    <s v="MAYO 2026"/>
    <d v="2026-06-15T00:00:00"/>
    <x v="47"/>
    <n v="0"/>
    <n v="357000"/>
    <s v="_Susc_FAC_JAIME_PINTO.PDF"/>
  </r>
  <r>
    <s v="PLAZA OESTE 2"/>
    <s v="Adicional - CaleraTango"/>
    <s v="PLAZA OESTE"/>
    <s v="JP.CDT"/>
    <s v="POR DIA DE FIN DE SEMANA"/>
    <s v="JAIME ENQRIQUE PINTO DIAZ"/>
    <s v="Reparto Fin de semana"/>
    <n v="25000"/>
    <n v="10"/>
    <n v="0"/>
    <n v="10"/>
    <n v="250000"/>
    <x v="46"/>
    <x v="46"/>
    <x v="1"/>
    <s v="NETO"/>
    <s v="IMPUESTO"/>
    <s v="TOTAL"/>
    <n v="250000"/>
    <n v="0.19"/>
    <n v="47500"/>
    <n v="297500"/>
    <s v="DEPOSITO"/>
    <s v="JAIME ENQRIQUE PINTO DIAZ"/>
    <s v="12.679.150-K"/>
    <s v="FALABELLA"/>
    <s v="CUENTA CORRIENTE"/>
    <n v="19997714060"/>
    <d v="2026-05-31T00:00:00"/>
    <s v="MAYO 2026"/>
    <d v="2026-06-15T00:00:00"/>
    <x v="47"/>
    <n v="0"/>
    <n v="297500"/>
    <s v="_Susc_FAC_JAIME_PINTO.PDF"/>
  </r>
  <r>
    <s v="PLAZA OESTE 2"/>
    <s v="Suscripciones"/>
    <s v="PLAZA OESTE"/>
    <s v="JC.01"/>
    <s v="POR DIA DE FIN DE SEMANA"/>
    <s v="JOSE MIGUEL CANTILLANA ALMONACID"/>
    <s v="Reparto Fin de semana"/>
    <n v="28000"/>
    <n v="10"/>
    <m/>
    <n v="10"/>
    <n v="280000"/>
    <x v="47"/>
    <x v="47"/>
    <x v="0"/>
    <s v="BRUTO"/>
    <s v="RETENCION"/>
    <s v="LIQUIDO A PAGAR"/>
    <n v="280000"/>
    <n v="0.1525"/>
    <n v="42700"/>
    <n v="237300"/>
    <s v="DEPOSITO"/>
    <s v="JOSE MIGUEL CANTILLANA ALMONACID"/>
    <s v="10.929.445-4"/>
    <s v="BANCO ESTADO"/>
    <s v="CUENTA RUT"/>
    <n v="10929445"/>
    <d v="2026-05-31T00:00:00"/>
    <s v="MAYO 2026"/>
    <d v="2026-06-15T00:00:00"/>
    <x v="48"/>
    <n v="0"/>
    <n v="237300"/>
    <s v="_Susc_BOL_JOSE_CANTILLANA.PDF"/>
  </r>
  <r>
    <s v="PLAZA OESTE 3"/>
    <s v="Suscripciones"/>
    <s v="PLAZA OESTE"/>
    <s v="MONITOR"/>
    <s v="POR DIA DE FIN DE SEMANA"/>
    <s v="SILVIA CAROLINA OSORIO BRICEÑO"/>
    <s v="Monitoria Fin de Semana"/>
    <n v="20000"/>
    <n v="10"/>
    <m/>
    <n v="10"/>
    <n v="200000"/>
    <x v="48"/>
    <x v="48"/>
    <x v="0"/>
    <s v="BRUTO"/>
    <s v="RETENCION"/>
    <s v="LIQUIDO A PAGAR"/>
    <n v="200000"/>
    <n v="0.1525"/>
    <n v="30500"/>
    <n v="169500"/>
    <s v="DEPOSITO"/>
    <s v="SILVIA CAROLINA OSORIO BRICEÑO"/>
    <s v="17.743.791-3"/>
    <s v="BANCO ESTADO"/>
    <s v="CUENTA RUT"/>
    <n v="17743791"/>
    <d v="2026-05-31T00:00:00"/>
    <s v="MAYO 2026"/>
    <d v="2026-06-15T00:00:00"/>
    <x v="49"/>
    <n v="0"/>
    <n v="169500"/>
    <s v="_Susc_BOL_SILVIA_OSORIO.PDF"/>
  </r>
  <r>
    <s v="PLAZA OESTE 3"/>
    <s v="Suscripciones"/>
    <s v="PLAZA OESTE"/>
    <s v="SO.01"/>
    <s v="POR DIA DE FIN DE SEMANA"/>
    <s v="SILVIA CAROLINA OSORIO BRICEÑO"/>
    <s v="Reparto Fin de semana"/>
    <n v="75000"/>
    <n v="10"/>
    <m/>
    <n v="10"/>
    <n v="750000"/>
    <x v="48"/>
    <x v="48"/>
    <x v="0"/>
    <s v="BRUTO"/>
    <s v="RETENCION"/>
    <s v="LIQUIDO A PAGAR"/>
    <n v="750000"/>
    <n v="0.1525"/>
    <n v="114375"/>
    <n v="635625"/>
    <s v="DEPOSITO"/>
    <s v="SILVIA CAROLINA OSORIO BRICEÑO"/>
    <s v="17.743.791-3"/>
    <s v="BANCO ESTADO"/>
    <s v="CUENTA RUT"/>
    <n v="17743791"/>
    <d v="2026-05-31T00:00:00"/>
    <s v="MAYO 2026"/>
    <d v="2026-06-15T00:00:00"/>
    <x v="49"/>
    <n v="0"/>
    <n v="635625"/>
    <s v="_Susc_BOL_SILVIA_OSORIO.PDF"/>
  </r>
  <r>
    <s v="PLAZA OESTE 3"/>
    <s v="Suscripciones"/>
    <s v="PLAZA OESTE"/>
    <s v="AG.01"/>
    <s v="POR DIA DE FIN DE SEMANA"/>
    <s v="ALEJANDRO FELIX GUERRA MACHUCA"/>
    <s v="Reparto Fin de semana"/>
    <n v="67500"/>
    <n v="10"/>
    <m/>
    <n v="10"/>
    <n v="675000"/>
    <x v="49"/>
    <x v="49"/>
    <x v="1"/>
    <s v="NETO"/>
    <s v="IMPUESTO"/>
    <s v="TOTAL"/>
    <n v="675000"/>
    <n v="0.19"/>
    <n v="128250"/>
    <n v="803250"/>
    <s v="DEPOSITO"/>
    <s v="TRANSPORTE ALEJANDRO GUERRA EIRL"/>
    <s v="78.430.442-6"/>
    <s v="SCOTIABANK"/>
    <s v="CUENTA CORRIENTE"/>
    <n v="994118202"/>
    <d v="2026-05-31T00:00:00"/>
    <s v="MAYO 2026"/>
    <d v="2026-06-15T00:00:00"/>
    <x v="50"/>
    <n v="0"/>
    <n v="803250"/>
    <s v="_Susc_BOL_ALEJANDRO_GUERRA.PDF"/>
  </r>
  <r>
    <s v="PLAZA OESTE 3"/>
    <s v="Suscripciones"/>
    <s v="PLAZA OESTE"/>
    <s v="ER.01"/>
    <s v="POR DIA DE FIN DE SEMANA"/>
    <s v="EDUARDO GUSTAVO ROJAS ESPINOZA"/>
    <s v="Reparto Fin de semana"/>
    <n v="85000"/>
    <n v="10"/>
    <m/>
    <n v="10"/>
    <n v="850000"/>
    <x v="50"/>
    <x v="50"/>
    <x v="0"/>
    <s v="BRUTO"/>
    <s v="RETENCION"/>
    <s v="LIQUIDO A PAGAR"/>
    <n v="850000"/>
    <n v="0.1525"/>
    <n v="129625"/>
    <n v="720375"/>
    <s v="DEPOSITO"/>
    <s v="EDUARDO GUSTAVO ROJAS ESPINOZA"/>
    <s v="12.491.586-4"/>
    <s v="BANCO ESTADO"/>
    <s v="CUENTA RUT"/>
    <n v="12491586"/>
    <d v="2026-05-31T00:00:00"/>
    <s v="MAYO 2026"/>
    <d v="2026-06-15T00:00:00"/>
    <x v="51"/>
    <n v="0"/>
    <n v="720375"/>
    <s v="_Susc_BOL_EDUARDO_ROJAS.PDF"/>
  </r>
  <r>
    <s v="PLAZA OESTE 4"/>
    <s v="Suscripciones"/>
    <s v="PLAZA OESTE"/>
    <s v="JS.01"/>
    <s v="POR DIA DE FIN DE SEMANA"/>
    <s v="JAIME ANTONIO SOTO AUCAPAN"/>
    <s v="Reparto Fin de semana"/>
    <n v="21000"/>
    <n v="10"/>
    <m/>
    <n v="10"/>
    <n v="210000"/>
    <x v="51"/>
    <x v="51"/>
    <x v="0"/>
    <s v="BRUTO"/>
    <s v="RETENCION"/>
    <s v="LIQUIDO A PAGAR"/>
    <n v="210000"/>
    <n v="0.1525"/>
    <n v="32025"/>
    <n v="177975"/>
    <s v="DEPOSITO"/>
    <s v="KATHERINNE DEL CARMEN ANCAMILLA PAINEPIL"/>
    <s v="18.763.141-6"/>
    <s v="MERCADO PAGO"/>
    <s v="CUENTA VISTA"/>
    <n v="1080347535"/>
    <d v="2026-05-31T00:00:00"/>
    <s v="MAYO 2026"/>
    <d v="2026-06-15T00:00:00"/>
    <x v="52"/>
    <n v="0"/>
    <n v="177975"/>
    <s v="_Susc_BOL_JAIME_SOTO.PDF"/>
  </r>
  <r>
    <s v="PLAZA OESTE 4"/>
    <s v="Suscripciones"/>
    <s v="PLAZA OESTE"/>
    <s v="JS.02"/>
    <s v="POR DIA DE FIN DE SEMANA"/>
    <s v="JAIME ANTONIO SOTO AUCAPAN"/>
    <s v="Reparto Fin de semana"/>
    <n v="21000"/>
    <n v="10"/>
    <m/>
    <n v="10"/>
    <n v="210000"/>
    <x v="51"/>
    <x v="51"/>
    <x v="0"/>
    <s v="BRUTO"/>
    <s v="RETENCION"/>
    <s v="LIQUIDO A PAGAR"/>
    <n v="210000"/>
    <n v="0.1525"/>
    <n v="32025"/>
    <n v="177975"/>
    <s v="DEPOSITO"/>
    <s v="KATHERINNE DEL CARMEN ANCAMILLA PAINEPIL"/>
    <s v="18.763.141-6"/>
    <s v="MERCADO PAGO"/>
    <s v="CUENTA VISTA"/>
    <n v="1080347535"/>
    <d v="2026-05-31T00:00:00"/>
    <s v="MAYO 2026"/>
    <d v="2026-06-15T00:00:00"/>
    <x v="52"/>
    <n v="0"/>
    <n v="177975"/>
    <s v="_Susc_BOL_JAIME_SOTO.PDF"/>
  </r>
  <r>
    <s v="PLAZA OESTE 4"/>
    <s v="Suscripciones"/>
    <s v="PLAZA OESTE"/>
    <s v="JS.03"/>
    <s v="POR DIA DE FIN DE SEMANA"/>
    <s v="JAIME ANTONIO SOTO AUCAPAN"/>
    <s v="Reparto Fin de semana"/>
    <n v="21000"/>
    <n v="10"/>
    <m/>
    <n v="10"/>
    <n v="210000"/>
    <x v="51"/>
    <x v="51"/>
    <x v="0"/>
    <s v="BRUTO"/>
    <s v="RETENCION"/>
    <s v="LIQUIDO A PAGAR"/>
    <n v="210000"/>
    <n v="0.1525"/>
    <n v="32025"/>
    <n v="177975"/>
    <s v="DEPOSITO"/>
    <s v="KATHERINNE DEL CARMEN ANCAMILLA PAINEPIL"/>
    <s v="18.763.141-6"/>
    <s v="MERCADO PAGO"/>
    <s v="CUENTA VISTA"/>
    <n v="1080347535"/>
    <d v="2026-05-31T00:00:00"/>
    <s v="MAYO 2026"/>
    <d v="2026-06-15T00:00:00"/>
    <x v="52"/>
    <n v="0"/>
    <n v="177975"/>
    <s v="_Susc_BOL_JAIME_SOTO.PDF"/>
  </r>
  <r>
    <s v="PLAZA OESTE 4"/>
    <s v="Suscripciones"/>
    <s v="PLAZA OESTE"/>
    <s v="JS.04"/>
    <s v="POR DIA DE FIN DE SEMANA"/>
    <s v="JAIME ANTONIO SOTO AUCAPAN"/>
    <s v="Reparto Fin de semana"/>
    <n v="21000"/>
    <n v="10"/>
    <m/>
    <n v="10"/>
    <n v="210000"/>
    <x v="51"/>
    <x v="51"/>
    <x v="0"/>
    <s v="BRUTO"/>
    <s v="RETENCION"/>
    <s v="LIQUIDO A PAGAR"/>
    <n v="210000"/>
    <n v="0.1525"/>
    <n v="32025"/>
    <n v="177975"/>
    <s v="DEPOSITO"/>
    <s v="KATHERINNE DEL CARMEN ANCAMILLA PAINEPIL"/>
    <s v="18.763.141-6"/>
    <s v="MERCADO PAGO"/>
    <s v="CUENTA VISTA"/>
    <n v="1080347535"/>
    <d v="2026-05-31T00:00:00"/>
    <s v="MAYO 2026"/>
    <d v="2026-06-15T00:00:00"/>
    <x v="52"/>
    <n v="0"/>
    <n v="177975"/>
    <s v="_Susc_BOL_JAIME_SOTO.PDF"/>
  </r>
  <r>
    <s v="PLAZA OESTE 4"/>
    <s v="Suscripciones"/>
    <s v="PLAZA OESTE"/>
    <s v="JS.0"/>
    <s v="POR DIA DE FIN DE SEMANA"/>
    <s v="JAIME ANTONIO SOTO AUCAPAN"/>
    <s v="Reparto Fin de semana"/>
    <n v="21000"/>
    <n v="10"/>
    <m/>
    <n v="10"/>
    <n v="210000"/>
    <x v="51"/>
    <x v="51"/>
    <x v="0"/>
    <s v="BRUTO"/>
    <s v="RETENCION"/>
    <s v="LIQUIDO A PAGAR"/>
    <n v="210000"/>
    <n v="0.1525"/>
    <n v="32025"/>
    <n v="177975"/>
    <s v="DEPOSITO"/>
    <s v="KATHERINNE DEL CARMEN ANCAMILLA PAINEPIL"/>
    <s v="18.763.141-6"/>
    <s v="MERCADO PAGO"/>
    <s v="CUENTA VISTA"/>
    <n v="1080347535"/>
    <d v="2026-05-31T00:00:00"/>
    <s v="MAYO 2026"/>
    <d v="2026-06-15T00:00:00"/>
    <x v="52"/>
    <n v="0"/>
    <n v="177975"/>
    <s v="_Susc_BOL_JAIME_SOTO.PDF"/>
  </r>
  <r>
    <s v="PLAZA OESTE 4"/>
    <s v="Suscripciones"/>
    <s v="PLAZA OESTE"/>
    <s v="VA.01"/>
    <s v="POR DIA DE FIN DE SEMANA"/>
    <s v="VALENTIN SEGUNDO ANCAMILLA SALAZAR"/>
    <s v="Reparto Fin de semana"/>
    <n v="15000"/>
    <n v="10"/>
    <m/>
    <n v="10"/>
    <n v="150000"/>
    <x v="52"/>
    <x v="52"/>
    <x v="0"/>
    <s v="BRUTO"/>
    <s v="RETENCION"/>
    <s v="LIQUIDO A PAGAR"/>
    <n v="150000"/>
    <n v="0.1525"/>
    <n v="22875"/>
    <n v="127125"/>
    <s v="DEPOSITO"/>
    <s v="VALENTIN SEGUNDO ANCAMILLA SALAZAR"/>
    <s v="11.700.380-9"/>
    <s v="BANCO ESTADO"/>
    <s v="CUENTA RUT"/>
    <n v="11700380"/>
    <d v="2026-05-31T00:00:00"/>
    <s v="MAYO 2026"/>
    <d v="2026-06-15T00:00:00"/>
    <x v="53"/>
    <n v="0"/>
    <n v="127125"/>
    <s v="_Susc_BOL_VALENTIN_ANCAMILLA.PDF"/>
  </r>
  <r>
    <s v="PLAZA OESTE 4"/>
    <s v="Suscripciones"/>
    <s v="PLAZA OESTE"/>
    <s v="VA.02"/>
    <s v="POR DIA DE FIN DE SEMANA"/>
    <s v="VALENTIN SEGUNDO ANCAMILLA SALAZAR"/>
    <s v="Reparto Fin de semana"/>
    <n v="15000"/>
    <n v="10"/>
    <m/>
    <n v="10"/>
    <n v="150000"/>
    <x v="52"/>
    <x v="52"/>
    <x v="0"/>
    <s v="BRUTO"/>
    <s v="RETENCION"/>
    <s v="LIQUIDO A PAGAR"/>
    <n v="150000"/>
    <n v="0.1525"/>
    <n v="22875"/>
    <n v="127125"/>
    <s v="DEPOSITO"/>
    <s v="VALENTIN SEGUNDO ANCAMILLA SALAZAR"/>
    <s v="11.700.380-9"/>
    <s v="BANCO ESTADO"/>
    <s v="CUENTA RUT"/>
    <n v="11700380"/>
    <d v="2026-05-31T00:00:00"/>
    <s v="MAYO 2026"/>
    <d v="2026-06-15T00:00:00"/>
    <x v="53"/>
    <n v="0"/>
    <n v="127125"/>
    <s v="_Susc_BOL_VALENTIN_ANCAMILLA.PDF"/>
  </r>
  <r>
    <s v="SAN MIGUEL"/>
    <s v="Suscripciones"/>
    <s v="PLAZA OESTE"/>
    <s v="VA.03"/>
    <s v="POR DIA DE FIN DE SEMANA"/>
    <s v="VALENTIN SEGUNDO ANCAMILLA SALAZAR"/>
    <s v="Reparto Fin de semana"/>
    <n v="15000"/>
    <n v="10"/>
    <n v="5"/>
    <n v="5"/>
    <n v="75000"/>
    <x v="52"/>
    <x v="52"/>
    <x v="0"/>
    <s v="BRUTO"/>
    <s v="RETENCION"/>
    <s v="LIQUIDO A PAGAR"/>
    <n v="75000"/>
    <n v="0.1525"/>
    <n v="11437.5"/>
    <n v="63562"/>
    <s v="DEPOSITO"/>
    <s v="VALENTIN SEGUNDO ANCAMILLA SALAZAR"/>
    <s v="11.700.380-9"/>
    <s v="BANCO ESTADO"/>
    <s v="CUENTA RUT"/>
    <n v="11700380"/>
    <d v="2026-05-31T00:00:00"/>
    <s v="MAYO 2026"/>
    <d v="2026-06-15T00:00:00"/>
    <x v="53"/>
    <n v="0"/>
    <n v="63562"/>
    <s v="_Susc_BOL_VALENTIN_ANCAMILLA.PDF"/>
  </r>
  <r>
    <s v="SAN MIGUEL"/>
    <s v="Suscripciones"/>
    <s v="PLAZA OESTE"/>
    <s v="VA.04"/>
    <s v="POR DIA DE FIN DE SEMANA"/>
    <s v="VALENTIN SEGUNDO ANCAMILLA SALAZAR"/>
    <s v="Reparto Fin de semana"/>
    <n v="15000"/>
    <n v="10"/>
    <n v="5"/>
    <n v="5"/>
    <n v="75000"/>
    <x v="52"/>
    <x v="52"/>
    <x v="0"/>
    <s v="BRUTO"/>
    <s v="RETENCION"/>
    <s v="LIQUIDO A PAGAR"/>
    <n v="75000"/>
    <n v="0.1525"/>
    <n v="11437.5"/>
    <n v="63562"/>
    <s v="DEPOSITO"/>
    <s v="VALENTIN SEGUNDO ANCAMILLA SALAZAR"/>
    <s v="11.700.380-9"/>
    <s v="BANCO ESTADO"/>
    <s v="CUENTA RUT"/>
    <n v="11700380"/>
    <d v="2026-05-31T00:00:00"/>
    <s v="MAYO 2026"/>
    <d v="2026-06-15T00:00:00"/>
    <x v="53"/>
    <n v="0"/>
    <n v="63562"/>
    <s v="_Susc_BOL_VALENTIN_ANCAMILLA.PDF"/>
  </r>
  <r>
    <s v="PLAZA OESTE 5"/>
    <s v="Suscripciones"/>
    <s v="PLAZA OESTE"/>
    <s v="Colina"/>
    <s v="POR DIA DE FIN DE SEMANA"/>
    <s v="JOSE LUIS HORMZABAL SILVA"/>
    <s v="Reparto Fin de semana"/>
    <n v="137500"/>
    <n v="10"/>
    <m/>
    <n v="10"/>
    <n v="1375000"/>
    <x v="22"/>
    <x v="22"/>
    <x v="1"/>
    <s v="NETO"/>
    <s v="IMPUESTO"/>
    <s v="TOTAL"/>
    <n v="1375000"/>
    <n v="0.19"/>
    <n v="261250"/>
    <n v="1636250"/>
    <s v="DEPOSITO"/>
    <s v="MANUEL JESUS HERNANDEZ CADIZ"/>
    <s v="13.072.027-7"/>
    <s v="FALABELLA"/>
    <s v="CUENTA CORRIENTE"/>
    <n v="10090009120"/>
    <d v="2026-05-31T00:00:00"/>
    <s v="MAYO 2026"/>
    <d v="2026-06-15T00:00:00"/>
    <x v="54"/>
    <n v="0"/>
    <n v="1636250"/>
    <s v="_Susc_FAC_MANUEL_HERNANDEZ_P_OESTE5.PDF"/>
  </r>
  <r>
    <s v="PLAZA OESTE 5"/>
    <s v="Adicional - Lampa"/>
    <s v="PLAZA OESTE"/>
    <s v="Lampa"/>
    <s v="POR DIA DE FIN DE SEMANA"/>
    <s v="JOSE LUIS HORMZABAL SILVA"/>
    <s v="Reparto Fin de semana"/>
    <n v="45000"/>
    <n v="10"/>
    <m/>
    <n v="10"/>
    <n v="450000"/>
    <x v="22"/>
    <x v="22"/>
    <x v="1"/>
    <s v="NETO"/>
    <s v="IMPUESTO"/>
    <s v="TOTAL"/>
    <n v="450000"/>
    <n v="0.19"/>
    <n v="85500"/>
    <n v="535500"/>
    <s v="DEPOSITO"/>
    <s v="MANUEL JESUS HERNANDEZ CADIZ"/>
    <s v="13.072.027-7"/>
    <s v="FALABELLA"/>
    <s v="CUENTA CORRIENTE"/>
    <n v="10090009120"/>
    <d v="2026-05-31T00:00:00"/>
    <s v="MAYO 2026"/>
    <d v="2026-06-15T00:00:00"/>
    <x v="54"/>
    <n v="0"/>
    <n v="535500"/>
    <s v="_Susc_FAC_MANUEL_HERNANDEZ_P_OESTE5.PDF"/>
  </r>
  <r>
    <s v="PLAZA OESTE 5"/>
    <s v="Suscripciones"/>
    <s v="PLAZA OESTE"/>
    <s v="Colina"/>
    <s v="POR DIA DE FIN DE SEMANA"/>
    <s v="PATRICIO FERNANDO CAROCA VASQUEZ"/>
    <s v="Reparto Fin de semana"/>
    <n v="112500"/>
    <n v="10"/>
    <m/>
    <n v="10"/>
    <n v="1125000"/>
    <x v="53"/>
    <x v="53"/>
    <x v="0"/>
    <s v="BRUTO"/>
    <s v="RETENCION"/>
    <s v="LIQUIDO A PAGAR"/>
    <n v="1125000"/>
    <n v="0.1525"/>
    <n v="171562.5"/>
    <n v="953437"/>
    <s v="DEPOSITO"/>
    <s v="PATRICIO FERNANDO CAROCA VASQUEZ"/>
    <s v="9.196.685-9"/>
    <s v="BANCO ESTADO"/>
    <s v="CUENTA RUT"/>
    <n v="9196685"/>
    <d v="2026-05-31T00:00:00"/>
    <s v="MAYO 2026"/>
    <d v="2026-06-15T00:00:00"/>
    <x v="55"/>
    <n v="0"/>
    <n v="953437"/>
    <s v="_Susc_BOL_PATRICIO_CAROCA.PDF"/>
  </r>
  <r>
    <s v="CENTRO"/>
    <s v="Suscripciones"/>
    <s v="CENTRO"/>
    <s v="LA.01"/>
    <s v="POR DIA DE FIN DE SEMANA"/>
    <s v="LUIS GONZALO ALCALDE TORRES"/>
    <s v="Reparto Fin de semana"/>
    <n v="17000"/>
    <n v="10"/>
    <m/>
    <n v="10"/>
    <n v="170000"/>
    <x v="54"/>
    <x v="54"/>
    <x v="1"/>
    <s v="NETO"/>
    <s v="IMPUESTO"/>
    <s v="TOTAL"/>
    <n v="170000"/>
    <n v="0.19"/>
    <n v="32300"/>
    <n v="202300"/>
    <s v="DEPOSITO"/>
    <s v="LUIS GONZALO ALCALDE TORRES"/>
    <s v="14.559.598-3"/>
    <s v="BANCO CHILE"/>
    <s v="CUENTA CORRIENTE"/>
    <n v="220743902"/>
    <d v="2026-05-31T00:00:00"/>
    <s v="MAYO 2026"/>
    <d v="2026-06-15T00:00:00"/>
    <x v="56"/>
    <n v="0"/>
    <n v="202300"/>
    <s v="_Susc_FAC_LUIS_ALCALDE.PDF"/>
  </r>
  <r>
    <s v="CENTRO"/>
    <s v="Suscripciones"/>
    <s v="CENTRO"/>
    <s v="LA.02"/>
    <s v="POR DIA DE FIN DE SEMANA"/>
    <s v="LUIS GONZALO ALCALDE TORRES"/>
    <s v="Reparto Fin de semana"/>
    <n v="17000"/>
    <n v="10"/>
    <m/>
    <n v="10"/>
    <n v="170000"/>
    <x v="54"/>
    <x v="54"/>
    <x v="1"/>
    <s v="NETO"/>
    <s v="IMPUESTO"/>
    <s v="TOTAL"/>
    <n v="170000"/>
    <n v="0.19"/>
    <n v="32300"/>
    <n v="202300"/>
    <s v="DEPOSITO"/>
    <s v="LUIS GONZALO ALCALDE TORRES"/>
    <s v="14.559.598-3"/>
    <s v="BANCO CHILE"/>
    <s v="CUENTA CORRIENTE"/>
    <n v="220743902"/>
    <d v="2026-05-31T00:00:00"/>
    <s v="MAYO 2026"/>
    <d v="2026-06-15T00:00:00"/>
    <x v="56"/>
    <n v="0"/>
    <n v="202300"/>
    <s v="_Susc_FAC_LUIS_ALCALDE.PDF"/>
  </r>
  <r>
    <s v="CENTRO"/>
    <s v="Suscripciones"/>
    <s v="CENTRO"/>
    <s v="LA.03"/>
    <s v="POR DIA DE FIN DE SEMANA"/>
    <s v="LUIS GONZALO ALCALDE TORRES"/>
    <s v="Reparto Fin de semana"/>
    <n v="17000"/>
    <n v="10"/>
    <m/>
    <n v="10"/>
    <n v="170000"/>
    <x v="54"/>
    <x v="54"/>
    <x v="1"/>
    <s v="NETO"/>
    <s v="IMPUESTO"/>
    <s v="TOTAL"/>
    <n v="170000"/>
    <n v="0.19"/>
    <n v="32300"/>
    <n v="202300"/>
    <s v="DEPOSITO"/>
    <s v="LUIS GONZALO ALCALDE TORRES"/>
    <s v="14.559.598-3"/>
    <s v="BANCO CHILE"/>
    <s v="CUENTA CORRIENTE"/>
    <n v="220743902"/>
    <d v="2026-05-31T00:00:00"/>
    <s v="MAYO 2026"/>
    <d v="2026-06-15T00:00:00"/>
    <x v="56"/>
    <n v="0"/>
    <n v="202300"/>
    <s v="_Susc_FAC_LUIS_ALCALDE.PDF"/>
  </r>
  <r>
    <s v="CENTRO"/>
    <s v="Suscripciones"/>
    <s v="CENTRO"/>
    <s v="FD.01"/>
    <s v="POR DIA DE FIN DE SEMANA"/>
    <s v="FELIPE FABIAN DIAZ ASTORGA"/>
    <s v="Reparto Fin de semana"/>
    <n v="24000"/>
    <n v="10"/>
    <m/>
    <n v="10"/>
    <n v="240000"/>
    <x v="55"/>
    <x v="55"/>
    <x v="1"/>
    <s v="NETO"/>
    <s v="IMPUESTO"/>
    <s v="TOTAL"/>
    <n v="240000"/>
    <n v="0.19"/>
    <n v="45600"/>
    <n v="285600"/>
    <s v="DEPOSITO"/>
    <s v="FELIPE FABIAN DIAZ ASTORGA"/>
    <s v="17.739.602-8"/>
    <s v="BANCO CHILE"/>
    <s v="CUENTA VISTA"/>
    <n v="702024271"/>
    <d v="2026-05-31T00:00:00"/>
    <s v="MAYO 2026"/>
    <d v="2026-06-15T00:00:00"/>
    <x v="57"/>
    <n v="0"/>
    <n v="285600"/>
    <s v="_Susc_FAC_FELIPE_DIAZ.PDF"/>
  </r>
  <r>
    <s v="CENTRO"/>
    <s v="Suscripciones"/>
    <s v="CENTRO"/>
    <s v="FD.02"/>
    <s v="POR DIA DE FIN DE SEMANA"/>
    <s v="FELIPE FABIAN DIAZ ASTORGA"/>
    <s v="Reparto Fin de semana"/>
    <n v="24000"/>
    <n v="10"/>
    <m/>
    <n v="10"/>
    <n v="240000"/>
    <x v="55"/>
    <x v="55"/>
    <x v="1"/>
    <s v="NETO"/>
    <s v="IMPUESTO"/>
    <s v="TOTAL"/>
    <n v="240000"/>
    <n v="0.19"/>
    <n v="45600"/>
    <n v="285600"/>
    <s v="DEPOSITO"/>
    <s v="FELIPE FABIAN DIAZ ASTORGA"/>
    <s v="17.739.602-8"/>
    <s v="BANCO CHILE"/>
    <s v="CUENTA VISTA"/>
    <n v="702024271"/>
    <d v="2026-05-31T00:00:00"/>
    <s v="MAYO 2026"/>
    <d v="2026-06-15T00:00:00"/>
    <x v="57"/>
    <n v="0"/>
    <n v="285600"/>
    <s v="_Susc_FAC_FELIPE_DIAZ.PDF"/>
  </r>
  <r>
    <s v="CENTRO"/>
    <s v="Suscripciones"/>
    <s v="CENTRO"/>
    <s v="RR.01"/>
    <s v="POR DIA DE FIN DE SEMANA"/>
    <s v="FELIPE FABIAN DIAZ ASTORGA"/>
    <s v="Reparto Fin de semana"/>
    <n v="24000"/>
    <n v="10"/>
    <m/>
    <n v="10"/>
    <n v="240000"/>
    <x v="55"/>
    <x v="55"/>
    <x v="1"/>
    <s v="NETO"/>
    <s v="IMPUESTO"/>
    <s v="TOTAL"/>
    <n v="240000"/>
    <n v="0.19"/>
    <n v="45600"/>
    <n v="285600"/>
    <s v="DEPOSITO"/>
    <s v="FELIPE FABIAN DIAZ ASTORGA"/>
    <s v="17.739.602-8"/>
    <s v="BANCO CHILE"/>
    <s v="CUENTA VISTA"/>
    <n v="702024271"/>
    <d v="2026-05-31T00:00:00"/>
    <s v="MAYO 2026"/>
    <d v="2026-06-15T00:00:00"/>
    <x v="57"/>
    <n v="0"/>
    <n v="285600"/>
    <s v="_Susc_FAC_FELIPE_DIAZ.PDF"/>
  </r>
  <r>
    <s v="CENTRO"/>
    <s v="Suscripciones"/>
    <s v="CENTRO"/>
    <s v="RR.02"/>
    <s v="POR DIA DE FIN DE SEMANA"/>
    <s v="FELIPE FABIAN DIAZ ASTORGA"/>
    <s v="Reparto Fin de semana"/>
    <n v="24000"/>
    <n v="10"/>
    <m/>
    <n v="10"/>
    <n v="240000"/>
    <x v="55"/>
    <x v="55"/>
    <x v="1"/>
    <s v="NETO"/>
    <s v="IMPUESTO"/>
    <s v="TOTAL"/>
    <n v="240000"/>
    <n v="0.19"/>
    <n v="45600"/>
    <n v="285600"/>
    <s v="DEPOSITO"/>
    <s v="FELIPE FABIAN DIAZ ASTORGA"/>
    <s v="17.739.602-8"/>
    <s v="BANCO CHILE"/>
    <s v="CUENTA VISTA"/>
    <n v="702024271"/>
    <d v="2026-05-31T00:00:00"/>
    <s v="MAYO 2026"/>
    <d v="2026-06-15T00:00:00"/>
    <x v="57"/>
    <n v="0"/>
    <n v="285600"/>
    <s v="_Susc_FAC_FELIPE_DIAZ.PDF"/>
  </r>
  <r>
    <s v="CENTRO"/>
    <s v="Suscripciones"/>
    <s v="CENTRO"/>
    <s v="MONITOR"/>
    <s v="POR DIA DE FIN DE SEMANA"/>
    <s v="RICARDO ANTONIO DIAZ GUAJARDO"/>
    <s v="Monitoria Fin de Semana"/>
    <n v="25000"/>
    <n v="10"/>
    <m/>
    <n v="10"/>
    <n v="250000"/>
    <x v="56"/>
    <x v="56"/>
    <x v="1"/>
    <s v="NETO"/>
    <s v="IMPUESTO"/>
    <s v="TOTAL"/>
    <n v="250000"/>
    <n v="0.19"/>
    <n v="47500"/>
    <n v="297500"/>
    <s v="DEPOSITO"/>
    <s v="RICARDO ANTONIO DIAZ GUAJARDO"/>
    <s v="11.371.282-1"/>
    <s v="FALABELLA"/>
    <s v="CUENTA CORRIENTE"/>
    <n v="15660112754"/>
    <d v="2026-05-31T00:00:00"/>
    <s v="MAYO 2026"/>
    <d v="2026-06-15T00:00:00"/>
    <x v="58"/>
    <n v="0"/>
    <n v="297500"/>
    <s v="_Susc_FAC_RICARDO_DIAZ.PDF"/>
  </r>
  <r>
    <s v="CENTRO"/>
    <s v="Suscripciones"/>
    <s v="CENTRO"/>
    <s v="RD.01"/>
    <s v="POR DIA DE FIN DE SEMANA"/>
    <s v="RICARDO ANTONIO DIAZ GUAJARDO"/>
    <s v="Reparto Fin de semana"/>
    <n v="20000"/>
    <n v="10"/>
    <m/>
    <n v="10"/>
    <n v="200000"/>
    <x v="56"/>
    <x v="56"/>
    <x v="1"/>
    <s v="NETO"/>
    <s v="IMPUESTO"/>
    <s v="TOTAL"/>
    <n v="200000"/>
    <n v="0.19"/>
    <n v="38000"/>
    <n v="238000"/>
    <s v="DEPOSITO"/>
    <s v="RICARDO ANTONIO DIAZ GUAJARDO"/>
    <s v="11.371.282-1"/>
    <s v="FALABELLA"/>
    <s v="CUENTA CORRIENTE"/>
    <n v="15660112754"/>
    <d v="2026-05-31T00:00:00"/>
    <s v="MAYO 2026"/>
    <d v="2026-06-15T00:00:00"/>
    <x v="58"/>
    <n v="0"/>
    <n v="238000"/>
    <s v="_Susc_FAC_RICARDO_DIAZ.PDF"/>
  </r>
  <r>
    <s v="CENTRO"/>
    <s v="Suscripciones"/>
    <s v="CENTRO"/>
    <s v="JG.01"/>
    <s v="POR DIA DE FIN DE SEMANA"/>
    <s v="RICARDO ANTONIO DIAZ GUAJARDO"/>
    <s v="Reparto Fin de semana"/>
    <n v="24000"/>
    <n v="10"/>
    <m/>
    <n v="10"/>
    <n v="240000"/>
    <x v="56"/>
    <x v="56"/>
    <x v="1"/>
    <s v="NETO"/>
    <s v="IMPUESTO"/>
    <s v="TOTAL"/>
    <n v="240000"/>
    <n v="0.19"/>
    <n v="45600"/>
    <n v="285600"/>
    <s v="DEPOSITO"/>
    <s v="RICARDO ANTONIO DIAZ GUAJARDO"/>
    <s v="11.371.282-1"/>
    <s v="FALABELLA"/>
    <s v="CUENTA CORRIENTE"/>
    <n v="15660112754"/>
    <d v="2026-05-31T00:00:00"/>
    <s v="MAYO 2026"/>
    <d v="2026-06-15T00:00:00"/>
    <x v="58"/>
    <n v="0"/>
    <n v="285600"/>
    <s v="_Susc_FAC_RICARDO_DIAZ.PDF"/>
  </r>
  <r>
    <s v="CENTRO"/>
    <s v="Suscripciones"/>
    <s v="CENTRO"/>
    <s v="JG.02"/>
    <s v="POR DIA DE FIN DE SEMANA"/>
    <s v="RICARDO ANTONIO DIAZ GUAJARDO"/>
    <s v="Reparto Fin de semana"/>
    <n v="24000"/>
    <n v="10"/>
    <m/>
    <n v="10"/>
    <n v="240000"/>
    <x v="56"/>
    <x v="56"/>
    <x v="1"/>
    <s v="NETO"/>
    <s v="IMPUESTO"/>
    <s v="TOTAL"/>
    <n v="240000"/>
    <n v="0.19"/>
    <n v="45600"/>
    <n v="285600"/>
    <s v="DEPOSITO"/>
    <s v="RICARDO ANTONIO DIAZ GUAJARDO"/>
    <s v="11.371.282-1"/>
    <s v="FALABELLA"/>
    <s v="CUENTA CORRIENTE"/>
    <n v="15660112754"/>
    <d v="2026-05-31T00:00:00"/>
    <s v="MAYO 2026"/>
    <d v="2026-06-15T00:00:00"/>
    <x v="58"/>
    <n v="0"/>
    <n v="285600"/>
    <s v="_Susc_FAC_RICARDO_DIAZ.PDF"/>
  </r>
  <r>
    <s v="BELLAVISTA 1"/>
    <s v="Suscripciones"/>
    <s v="BELLAVISTA"/>
    <s v="MONITOR"/>
    <s v="POR DIA DE FIN DE SEMANA"/>
    <s v="WILFREDO WILLIAMS QUISPE GUTIERREZ"/>
    <s v="Monitoria Fin de Semana"/>
    <n v="20000"/>
    <n v="10"/>
    <m/>
    <n v="10"/>
    <n v="200000"/>
    <x v="57"/>
    <x v="57"/>
    <x v="1"/>
    <s v="NETO"/>
    <s v="IMPUESTO"/>
    <s v="TOTAL"/>
    <n v="200000"/>
    <n v="0.19"/>
    <n v="38000"/>
    <n v="238000"/>
    <s v="DEPOSITO"/>
    <s v="JIG SPA"/>
    <s v="78206404-5"/>
    <s v="BANCO CHILE"/>
    <s v="CUENTA VISTA"/>
    <n v="194725321"/>
    <d v="2026-05-31T00:00:00"/>
    <s v="MAYO 2026"/>
    <d v="2026-06-15T00:00:00"/>
    <x v="59"/>
    <n v="0"/>
    <n v="238000"/>
    <s v="_Susc_FAC_WILLIAMS_QUISPE.PDF"/>
  </r>
  <r>
    <s v="BELLAVISTA 2"/>
    <s v="Suscripciones"/>
    <s v="BELLAVISTA"/>
    <s v="MONITOR"/>
    <s v="POR DIA DE FIN DE SEMANA"/>
    <s v="WILFREDO WILLIAMS QUISPE GUTIERREZ"/>
    <s v="Monitoria Fin de Semana"/>
    <n v="20000"/>
    <n v="10"/>
    <m/>
    <n v="10"/>
    <n v="200000"/>
    <x v="57"/>
    <x v="57"/>
    <x v="1"/>
    <s v="NETO"/>
    <s v="IMPUESTO"/>
    <s v="TOTAL"/>
    <n v="200000"/>
    <n v="0.19"/>
    <n v="38000"/>
    <n v="238000"/>
    <s v="DEPOSITO"/>
    <s v="JIG SPA"/>
    <s v="78206404-5"/>
    <s v="BANCO CHILE"/>
    <s v="CUENTA VISTA"/>
    <n v="194725321"/>
    <d v="2026-05-31T00:00:00"/>
    <s v="MAYO 2026"/>
    <d v="2026-06-15T00:00:00"/>
    <x v="59"/>
    <n v="0"/>
    <n v="238000"/>
    <s v="_Susc_FAC_WILLIAMS_QUISPE.PDF"/>
  </r>
  <r>
    <s v="BELLAVISTA 1"/>
    <s v="Suscripciones"/>
    <s v="BELLAVISTA"/>
    <s v="TRASLADO TAPA"/>
    <s v="POR DIA DE FIN DE SEMANA"/>
    <s v="WILFREDO WILLIAMS QUISPE GUTIERREZ"/>
    <s v="Transporte Tapa a Punto SD"/>
    <n v="15000"/>
    <n v="10"/>
    <m/>
    <n v="10"/>
    <n v="150000"/>
    <x v="57"/>
    <x v="57"/>
    <x v="1"/>
    <s v="NETO"/>
    <s v="IMPUESTO"/>
    <s v="TOTAL"/>
    <n v="150000"/>
    <n v="0.19"/>
    <n v="28500"/>
    <n v="178500"/>
    <s v="DEPOSITO"/>
    <s v="JIG SPA"/>
    <s v="78206404-5"/>
    <s v="BANCO CHILE"/>
    <s v="CUENTA VISTA"/>
    <n v="194725321"/>
    <d v="2026-05-31T00:00:00"/>
    <s v="MAYO 2026"/>
    <d v="2026-06-15T00:00:00"/>
    <x v="59"/>
    <n v="0"/>
    <n v="178500"/>
    <s v="_Susc_FAC_WILLIAMS_QUISPE.PDF"/>
  </r>
  <r>
    <s v="BELLAVISTA 1"/>
    <s v="Suscripciones"/>
    <s v="BELLAVISTA"/>
    <s v="WQ.01"/>
    <s v="POR DIA DE FIN DE SEMANA"/>
    <s v="WILFREDO WILLIAMS QUISPE GUTIERREZ"/>
    <s v="Reparto Fin de semana"/>
    <n v="20000"/>
    <n v="10"/>
    <m/>
    <n v="10"/>
    <n v="200000"/>
    <x v="57"/>
    <x v="57"/>
    <x v="1"/>
    <s v="NETO"/>
    <s v="IMPUESTO"/>
    <s v="TOTAL"/>
    <n v="200000"/>
    <n v="0.19"/>
    <n v="38000"/>
    <n v="238000"/>
    <s v="DEPOSITO"/>
    <s v="JIG SPA"/>
    <s v="78206404-5"/>
    <s v="BANCO CHILE"/>
    <s v="CUENTA VISTA"/>
    <n v="194725321"/>
    <d v="2026-05-31T00:00:00"/>
    <s v="MAYO 2026"/>
    <d v="2026-06-15T00:00:00"/>
    <x v="59"/>
    <n v="0"/>
    <n v="238000"/>
    <s v="_Susc_FAC_WILLIAMS_QUISPE.PDF"/>
  </r>
  <r>
    <s v="BELLAVISTA 1"/>
    <s v="Suscripciones"/>
    <s v="BELLAVISTA"/>
    <s v="WQ.02"/>
    <s v="POR DIA DE FIN DE SEMANA"/>
    <s v="WILFREDO WILLIAMS QUISPE GUTIERREZ"/>
    <s v="Reparto Fin de semana"/>
    <n v="20000"/>
    <n v="10"/>
    <m/>
    <n v="10"/>
    <n v="200000"/>
    <x v="57"/>
    <x v="57"/>
    <x v="1"/>
    <s v="NETO"/>
    <s v="IMPUESTO"/>
    <s v="TOTAL"/>
    <n v="200000"/>
    <n v="0.19"/>
    <n v="38000"/>
    <n v="238000"/>
    <s v="DEPOSITO"/>
    <s v="JIG SPA"/>
    <s v="78206404-5"/>
    <s v="BANCO CHILE"/>
    <s v="CUENTA VISTA"/>
    <n v="194725321"/>
    <d v="2026-05-31T00:00:00"/>
    <s v="MAYO 2026"/>
    <d v="2026-06-15T00:00:00"/>
    <x v="59"/>
    <n v="0"/>
    <n v="238000"/>
    <s v="_Susc_FAC_WILLIAMS_QUISPE.PDF"/>
  </r>
  <r>
    <s v="BELLAVISTA 1"/>
    <s v="Suscripciones"/>
    <s v="BELLAVISTA"/>
    <s v="WQ.03"/>
    <s v="POR DIA DE FIN DE SEMANA"/>
    <s v="WILFREDO WILLIAMS QUISPE GUTIERREZ"/>
    <s v="Reparto Fin de semana"/>
    <n v="20000"/>
    <n v="10"/>
    <m/>
    <n v="10"/>
    <n v="200000"/>
    <x v="57"/>
    <x v="57"/>
    <x v="1"/>
    <s v="NETO"/>
    <s v="IMPUESTO"/>
    <s v="TOTAL"/>
    <n v="200000"/>
    <n v="0.19"/>
    <n v="38000"/>
    <n v="238000"/>
    <s v="DEPOSITO"/>
    <s v="JIG SPA"/>
    <s v="78206404-5"/>
    <s v="BANCO CHILE"/>
    <s v="CUENTA VISTA"/>
    <n v="194725321"/>
    <d v="2026-05-31T00:00:00"/>
    <s v="MAYO 2026"/>
    <d v="2026-06-15T00:00:00"/>
    <x v="59"/>
    <n v="0"/>
    <n v="238000"/>
    <s v="_Susc_FAC_WILLIAMS_QUISPE.PDF"/>
  </r>
  <r>
    <s v="BELLAVISTA 1"/>
    <s v="Suscripciones"/>
    <s v="BELLAVISTA"/>
    <s v="LG.01"/>
    <s v="POR DIA DE FIN DE SEMANA"/>
    <s v="WILFREDO WILLIAMS QUISPE GUTIERREZ"/>
    <s v="Reparto Fin de semana"/>
    <n v="30000"/>
    <n v="10"/>
    <m/>
    <n v="10"/>
    <n v="300000"/>
    <x v="57"/>
    <x v="57"/>
    <x v="1"/>
    <s v="NETO"/>
    <s v="IMPUESTO"/>
    <s v="TOTAL"/>
    <n v="300000"/>
    <n v="0.19"/>
    <n v="57000"/>
    <n v="357000"/>
    <s v="DEPOSITO"/>
    <s v="JIG SPA"/>
    <s v="78206404-5"/>
    <s v="BANCO CHILE"/>
    <s v="CUENTA VISTA"/>
    <n v="194725321"/>
    <d v="2026-05-31T00:00:00"/>
    <s v="MAYO 2026"/>
    <d v="2026-06-15T00:00:00"/>
    <x v="59"/>
    <n v="0"/>
    <n v="357000"/>
    <s v="_Susc_FAC_WILLIAMS_QUISPE.PDF"/>
  </r>
  <r>
    <s v="BELLAVISTA 1"/>
    <s v="Suscripciones"/>
    <s v="BELLAVISTA"/>
    <s v="AS.01"/>
    <s v="POR DIA DE FIN DE SEMANA"/>
    <s v="WILFREDO WILLIAMS QUISPE GUTIERREZ"/>
    <s v="Reparto Fin de semana"/>
    <n v="20000"/>
    <n v="10"/>
    <m/>
    <n v="10"/>
    <n v="200000"/>
    <x v="57"/>
    <x v="57"/>
    <x v="1"/>
    <s v="NETO"/>
    <s v="IMPUESTO"/>
    <s v="TOTAL"/>
    <n v="200000"/>
    <n v="0.19"/>
    <n v="38000"/>
    <n v="238000"/>
    <s v="DEPOSITO"/>
    <s v="JIG SPA"/>
    <s v="78206404-5"/>
    <s v="BANCO CHILE"/>
    <s v="CUENTA VISTA"/>
    <n v="194725321"/>
    <d v="2026-05-31T00:00:00"/>
    <s v="MAYO 2026"/>
    <d v="2026-06-15T00:00:00"/>
    <x v="59"/>
    <n v="0"/>
    <n v="238000"/>
    <s v="_Susc_FAC_WILLIAMS_QUISPE.PDF"/>
  </r>
  <r>
    <s v="BELLAVISTA 1"/>
    <s v="Suscripciones"/>
    <s v="BELLAVISTA"/>
    <s v="CS.01"/>
    <s v="POR DIA DE FIN DE SEMANA"/>
    <s v="WILFREDO WILLIAMS QUISPE GUTIERREZ"/>
    <s v="Reparto Fin de semana"/>
    <n v="20000"/>
    <n v="10"/>
    <m/>
    <n v="10"/>
    <n v="200000"/>
    <x v="57"/>
    <x v="57"/>
    <x v="1"/>
    <s v="NETO"/>
    <s v="IMPUESTO"/>
    <s v="TOTAL"/>
    <n v="200000"/>
    <n v="0.19"/>
    <n v="38000"/>
    <n v="238000"/>
    <s v="DEPOSITO"/>
    <s v="JIG SPA"/>
    <s v="78206404-5"/>
    <s v="BANCO CHILE"/>
    <s v="CUENTA VISTA"/>
    <n v="194725321"/>
    <d v="2026-05-31T00:00:00"/>
    <s v="MAYO 2026"/>
    <d v="2026-06-15T00:00:00"/>
    <x v="59"/>
    <n v="0"/>
    <n v="238000"/>
    <s v="_Susc_FAC_WILLIAMS_QUISPE.PDF"/>
  </r>
  <r>
    <s v="BELLAVISTA 1"/>
    <s v="Suscripciones"/>
    <s v="BELLAVISTA"/>
    <s v="CS.02"/>
    <s v="POR DIA DE FIN DE SEMANA"/>
    <s v="WILFREDO WILLIAMS QUISPE GUTIERREZ"/>
    <s v="Reparto Fin de semana"/>
    <n v="15000"/>
    <n v="10"/>
    <m/>
    <n v="10"/>
    <n v="150000"/>
    <x v="57"/>
    <x v="57"/>
    <x v="1"/>
    <s v="NETO"/>
    <s v="IMPUESTO"/>
    <s v="TOTAL"/>
    <n v="150000"/>
    <n v="0.19"/>
    <n v="28500"/>
    <n v="178500"/>
    <s v="DEPOSITO"/>
    <s v="JIG SPA"/>
    <s v="78206404-5"/>
    <s v="BANCO CHILE"/>
    <s v="CUENTA VISTA"/>
    <n v="194725321"/>
    <d v="2026-05-31T00:00:00"/>
    <s v="MAYO 2026"/>
    <d v="2026-06-15T00:00:00"/>
    <x v="59"/>
    <n v="0"/>
    <n v="178500"/>
    <s v="_Susc_FAC_WILLIAMS_QUISPE.PDF"/>
  </r>
  <r>
    <s v="BELLAVISTA 2"/>
    <s v="Suscripciones"/>
    <s v="BELLAVISTA"/>
    <s v="BS.01"/>
    <s v="POR DIA DE FIN DE SEMANA"/>
    <s v="WILFREDO WILLIAMS QUISPE GUTIERREZ"/>
    <s v="Reparto Fin de semana"/>
    <n v="20000"/>
    <n v="10"/>
    <m/>
    <n v="10"/>
    <n v="200000"/>
    <x v="57"/>
    <x v="57"/>
    <x v="1"/>
    <s v="NETO"/>
    <s v="IMPUESTO"/>
    <s v="TOTAL"/>
    <n v="200000"/>
    <n v="0.19"/>
    <n v="38000"/>
    <n v="238000"/>
    <s v="DEPOSITO"/>
    <s v="JIG SPA"/>
    <s v="78206404-5"/>
    <s v="BANCO CHILE"/>
    <s v="CUENTA VISTA"/>
    <n v="194725321"/>
    <d v="2026-05-31T00:00:00"/>
    <s v="MAYO 2026"/>
    <d v="2026-06-15T00:00:00"/>
    <x v="59"/>
    <n v="0"/>
    <n v="238000"/>
    <s v="_Susc_FAC_WILLIAMS_QUISPE.PDF"/>
  </r>
  <r>
    <s v="BELLAVISTA 2"/>
    <s v="Suscripciones"/>
    <s v="BELLAVISTA"/>
    <s v="RV.01"/>
    <s v="POR DIA DE FIN DE SEMANA"/>
    <s v="WILFREDO WILLIAMS QUISPE GUTIERREZ"/>
    <s v="Reparto Fin de semana"/>
    <n v="20000"/>
    <n v="10"/>
    <m/>
    <n v="10"/>
    <n v="200000"/>
    <x v="57"/>
    <x v="57"/>
    <x v="1"/>
    <s v="NETO"/>
    <s v="IMPUESTO"/>
    <s v="TOTAL"/>
    <n v="200000"/>
    <n v="0.19"/>
    <n v="38000"/>
    <n v="238000"/>
    <s v="DEPOSITO"/>
    <s v="JIG SPA"/>
    <s v="78206404-5"/>
    <s v="BANCO CHILE"/>
    <s v="CUENTA VISTA"/>
    <n v="194725321"/>
    <d v="2026-05-31T00:00:00"/>
    <s v="MAYO 2026"/>
    <d v="2026-06-15T00:00:00"/>
    <x v="59"/>
    <n v="0"/>
    <n v="238000"/>
    <s v="_Susc_FAC_WILLIAMS_QUISPE.PDF"/>
  </r>
  <r>
    <s v="BELLAVISTA 2"/>
    <s v="Suscripciones"/>
    <s v="BELLAVISTA"/>
    <s v="RV.02"/>
    <s v="POR DIA DE FIN DE SEMANA"/>
    <s v="WILFREDO WILLIAMS QUISPE GUTIERREZ"/>
    <s v="Reparto Fin de semana"/>
    <n v="25000"/>
    <n v="10"/>
    <m/>
    <n v="10"/>
    <n v="250000"/>
    <x v="57"/>
    <x v="57"/>
    <x v="1"/>
    <s v="NETO"/>
    <s v="IMPUESTO"/>
    <s v="TOTAL"/>
    <n v="250000"/>
    <n v="0.19"/>
    <n v="47500"/>
    <n v="297500"/>
    <s v="DEPOSITO"/>
    <s v="JIG SPA"/>
    <s v="78206404-5"/>
    <s v="BANCO CHILE"/>
    <s v="CUENTA VISTA"/>
    <n v="194725321"/>
    <d v="2026-05-31T00:00:00"/>
    <s v="MAYO 2026"/>
    <d v="2026-06-15T00:00:00"/>
    <x v="59"/>
    <n v="0"/>
    <n v="297500"/>
    <s v="_Susc_FAC_WILLIAMS_QUISPE.PDF"/>
  </r>
  <r>
    <s v="SAN MIGUEL"/>
    <s v="Suscripciones"/>
    <s v="BELLAVISTA"/>
    <s v="LS.01"/>
    <s v="POR DIA DE FIN DE SEMANA"/>
    <s v="WILFREDO WILLIAMS QUISPE GUTIERREZ"/>
    <s v="Reparto Fin de semana"/>
    <n v="50000"/>
    <n v="10"/>
    <m/>
    <n v="10"/>
    <n v="500000"/>
    <x v="57"/>
    <x v="57"/>
    <x v="1"/>
    <s v="NETO"/>
    <s v="IMPUESTO"/>
    <s v="TOTAL"/>
    <n v="500000"/>
    <n v="0.19"/>
    <n v="95000"/>
    <n v="595000"/>
    <s v="DEPOSITO"/>
    <s v="JIG SPA"/>
    <s v="78206404-5"/>
    <s v="BANCO CHILE"/>
    <s v="CUENTA VISTA"/>
    <n v="194725321"/>
    <d v="2026-05-31T00:00:00"/>
    <s v="MAYO 2026"/>
    <d v="2026-06-15T00:00:00"/>
    <x v="59"/>
    <n v="0"/>
    <n v="595000"/>
    <s v="_Susc_FAC_WILLIAMS_QUISPE.PDF"/>
  </r>
  <r>
    <s v="SAN MIGUEL"/>
    <s v="Suscripciones"/>
    <s v="BELLAVISTA"/>
    <s v="VA03 Y VA04"/>
    <s v="REEMPLAZO"/>
    <s v="WILFREDO WILLIAMS QUISPE GUTIERREZ"/>
    <s v="Reparto Fin de semana"/>
    <n v="30000"/>
    <n v="5"/>
    <m/>
    <n v="5"/>
    <n v="150000"/>
    <x v="57"/>
    <x v="57"/>
    <x v="1"/>
    <s v="NETO"/>
    <s v="IMPUESTO"/>
    <s v="TOTAL"/>
    <n v="150000"/>
    <n v="0.19"/>
    <n v="28500"/>
    <n v="178500"/>
    <s v="DEPOSITO"/>
    <s v="JIG SPA"/>
    <s v="78206404-5"/>
    <s v="BANCO CHILE"/>
    <s v="CUENTA VISTA"/>
    <n v="194725321"/>
    <d v="2026-05-31T00:00:00"/>
    <s v="MAYO 2026"/>
    <d v="2026-06-15T00:00:00"/>
    <x v="59"/>
    <n v="0"/>
    <n v="178500"/>
    <s v="_Susc_FAC_WILLIAMS_QUISPE.PDF"/>
  </r>
  <r>
    <s v="BELLAVISTA 1"/>
    <s v="Suscripciones"/>
    <s v="BELLAVISTA"/>
    <s v="JM.01"/>
    <s v="POR DIA DE FIN DE SEMANA"/>
    <s v="WILFREDO WILLIAMS QUISPE GUTIERREZ"/>
    <s v="Reparto Fin de semana"/>
    <n v="20000"/>
    <n v="10"/>
    <m/>
    <n v="10"/>
    <n v="200000"/>
    <x v="57"/>
    <x v="57"/>
    <x v="1"/>
    <s v="NETO"/>
    <s v="IMPUESTO"/>
    <s v="TOTAL"/>
    <n v="200000"/>
    <n v="0.19"/>
    <n v="38000"/>
    <n v="238000"/>
    <s v="DEPOSITO"/>
    <s v="JIG SPA"/>
    <s v="78206404-5"/>
    <s v="BANCO CHILE"/>
    <s v="CUENTA VISTA"/>
    <n v="194725321"/>
    <d v="2026-05-31T00:00:00"/>
    <s v="MAYO 2026"/>
    <d v="2026-06-15T00:00:00"/>
    <x v="59"/>
    <n v="0"/>
    <n v="238000"/>
    <s v="_Susc_FAC_WILLIAMS_QUISPE.PDF"/>
  </r>
  <r>
    <s v="BELLAVISTA 1"/>
    <s v="Adicional - Reposiciones"/>
    <s v="BELLAVISTA"/>
    <s v="REPOSICIONES"/>
    <s v="POR DIA DE FIN DE SEMANA"/>
    <s v="WILFREDO WILLIAMS QUISPE GUTIERREZ"/>
    <s v="Reposiciones"/>
    <n v="20000"/>
    <n v="10"/>
    <m/>
    <n v="10"/>
    <n v="200000"/>
    <x v="57"/>
    <x v="57"/>
    <x v="1"/>
    <s v="NETO"/>
    <s v="IMPUESTO"/>
    <s v="TOTAL"/>
    <n v="200000"/>
    <n v="0.19"/>
    <n v="38000"/>
    <n v="238000"/>
    <s v="DEPOSITO"/>
    <s v="JIG SPA"/>
    <s v="78206404-5"/>
    <s v="BANCO CHILE"/>
    <s v="CUENTA VISTA"/>
    <n v="194725321"/>
    <d v="2026-05-31T00:00:00"/>
    <s v="MAYO 2026"/>
    <d v="2026-06-15T00:00:00"/>
    <x v="59"/>
    <n v="0"/>
    <n v="238000"/>
    <s v="_Susc_FAC_WILLIAMS_QUISPE.PDF"/>
  </r>
  <r>
    <s v="MACUL"/>
    <s v="Suscripciones"/>
    <s v="MACUL"/>
    <s v="BS"/>
    <s v="POR DIA DE FIN DE SEMANA"/>
    <s v="WILFREDO WILLIAMS QUISPE GUTIERREZ"/>
    <s v="Reparto Fin de semana"/>
    <n v="30000"/>
    <n v="10"/>
    <m/>
    <n v="10"/>
    <n v="300000"/>
    <x v="57"/>
    <x v="57"/>
    <x v="1"/>
    <s v="NETO"/>
    <s v="IMPUESTO"/>
    <s v="TOTAL"/>
    <n v="300000"/>
    <n v="0.19"/>
    <n v="57000"/>
    <n v="357000"/>
    <s v="DEPOSITO"/>
    <s v="JIG SPA"/>
    <s v="78206404-5"/>
    <s v="BANCO CHILE"/>
    <s v="CUENTA VISTA"/>
    <n v="194725321"/>
    <d v="2026-05-31T00:00:00"/>
    <s v="MAYO 2026"/>
    <d v="2026-06-15T00:00:00"/>
    <x v="59"/>
    <n v="0"/>
    <n v="357000"/>
    <s v="_Susc_FAC_WILLIAMS_QUISPE.PDF"/>
  </r>
  <r>
    <s v="BELLAVISTA 2"/>
    <s v="Suscripciones"/>
    <s v="BELLAVISTA"/>
    <s v="WQ.04"/>
    <s v="POR DIA DE FIN DE SEMANA"/>
    <s v="WILFREDO WILLIAMS QUISPE GUTIERREZ"/>
    <s v="Reparto Fin de semana"/>
    <n v="10000"/>
    <n v="10"/>
    <m/>
    <n v="10"/>
    <n v="100000"/>
    <x v="57"/>
    <x v="57"/>
    <x v="1"/>
    <s v="NETO"/>
    <s v="IMPUESTO"/>
    <s v="TOTAL"/>
    <n v="100000"/>
    <n v="0.19"/>
    <n v="19000"/>
    <n v="119000"/>
    <s v="DEPOSITO"/>
    <s v="JIG SPA"/>
    <s v="78206404-5"/>
    <s v="BANCO CHILE"/>
    <s v="CUENTA VISTA"/>
    <n v="194725321"/>
    <d v="2026-05-31T00:00:00"/>
    <s v="MAYO 2026"/>
    <d v="2026-06-15T00:00:00"/>
    <x v="59"/>
    <n v="0"/>
    <n v="119000"/>
    <s v="_Susc_FAC_WILLIAMS_QUISPE.PDF"/>
  </r>
  <r>
    <s v="BELLAVISTA 1"/>
    <s v="Suscripciones"/>
    <s v="BELLAVISTA"/>
    <s v="YC.01"/>
    <s v="POR DIA DE FIN DE SEMANA"/>
    <s v="YESENIA CONSUELO CASTRO GAJARDO"/>
    <s v="Reparto Fin de semana"/>
    <n v="20000"/>
    <n v="10"/>
    <m/>
    <n v="10"/>
    <n v="200000"/>
    <x v="58"/>
    <x v="58"/>
    <x v="1"/>
    <s v="NETO"/>
    <s v="IMPUESTO"/>
    <s v="TOTAL"/>
    <n v="200000"/>
    <n v="0.19"/>
    <n v="38000"/>
    <n v="238000"/>
    <s v="DEPOSITO"/>
    <s v="YESENIA CONSUELO CASTRO GAJARDO"/>
    <s v="13.438.427-1"/>
    <s v="FALABELLA"/>
    <s v="CUENTA CORRIENTE"/>
    <n v="19990677330"/>
    <d v="2026-05-31T00:00:00"/>
    <s v="MAYO 2026"/>
    <d v="2026-06-15T00:00:00"/>
    <x v="60"/>
    <n v="0"/>
    <n v="238000"/>
    <s v="_Susc_FAC_YESENIA_CASTRO.PDF"/>
  </r>
  <r>
    <s v="BELLAVISTA 1"/>
    <s v="Suscripciones"/>
    <s v="BELLAVISTA"/>
    <s v="YC.02"/>
    <s v="POR DIA DE FIN DE SEMANA"/>
    <s v="YESENIA CONSUELO CASTRO GAJARDO"/>
    <s v="Reparto Fin de semana"/>
    <n v="20000"/>
    <n v="10"/>
    <m/>
    <n v="10"/>
    <n v="200000"/>
    <x v="58"/>
    <x v="58"/>
    <x v="1"/>
    <s v="NETO"/>
    <s v="IMPUESTO"/>
    <s v="TOTAL"/>
    <n v="200000"/>
    <n v="0.19"/>
    <n v="38000"/>
    <n v="238000"/>
    <s v="DEPOSITO"/>
    <s v="YESENIA CONSUELO CASTRO GAJARDO"/>
    <s v="13.438.427-1"/>
    <s v="FALABELLA"/>
    <s v="CUENTA CORRIENTE"/>
    <n v="19990677330"/>
    <d v="2026-05-31T00:00:00"/>
    <s v="MAYO 2026"/>
    <d v="2026-06-15T00:00:00"/>
    <x v="60"/>
    <n v="0"/>
    <n v="238000"/>
    <s v="_Susc_FAC_YESENIA_CASTRO.PDF"/>
  </r>
  <r>
    <s v="MACUL"/>
    <s v="Suscripciones"/>
    <s v="MACUL"/>
    <s v="AF.01"/>
    <s v="POR DIA DE FIN DE SEMANA"/>
    <s v="ALEJANDRO MAURICIO FLORES QUIROZ"/>
    <s v="Reparto Fin de semana"/>
    <n v="22500"/>
    <n v="10"/>
    <m/>
    <n v="10"/>
    <n v="225000"/>
    <x v="59"/>
    <x v="59"/>
    <x v="1"/>
    <s v="NETO"/>
    <s v="IMPUESTO"/>
    <s v="TOTAL"/>
    <n v="225000"/>
    <n v="0.19"/>
    <n v="42750"/>
    <n v="267750"/>
    <s v="DEPOSITO"/>
    <s v="ALEJANDRO MAURICIO FLORES QUIROZ"/>
    <s v="15.736.181-3"/>
    <s v="SANTANDER"/>
    <s v="CUENTA CORRIENTE"/>
    <n v="77759743"/>
    <d v="2026-05-31T00:00:00"/>
    <s v="MAYO 2026"/>
    <d v="2026-06-15T00:00:00"/>
    <x v="61"/>
    <n v="0"/>
    <n v="267750"/>
    <s v="_Susc_FAC_ALEJANDRO_FLORES.PDF"/>
  </r>
  <r>
    <s v="MACUL"/>
    <s v="Suscripciones"/>
    <s v="MACUL"/>
    <s v="AF.02"/>
    <s v="POR DIA DE FIN DE SEMANA"/>
    <s v="ALEJANDRO MAURICIO FLORES QUIROZ"/>
    <s v="Reparto Fin de semana"/>
    <n v="22500"/>
    <n v="10"/>
    <m/>
    <n v="10"/>
    <n v="225000"/>
    <x v="59"/>
    <x v="59"/>
    <x v="1"/>
    <s v="NETO"/>
    <s v="IMPUESTO"/>
    <s v="TOTAL"/>
    <n v="225000"/>
    <n v="0.19"/>
    <n v="42750"/>
    <n v="267750"/>
    <s v="DEPOSITO"/>
    <s v="ALEJANDRO MAURICIO FLORES QUIROZ"/>
    <s v="15.736.181-3"/>
    <s v="SANTANDER"/>
    <s v="CUENTA CORRIENTE"/>
    <n v="77759743"/>
    <d v="2026-05-31T00:00:00"/>
    <s v="MAYO 2026"/>
    <d v="2026-06-15T00:00:00"/>
    <x v="61"/>
    <n v="0"/>
    <n v="267750"/>
    <s v="_Susc_FAC_ALEJANDRO_FLORES.PDF"/>
  </r>
  <r>
    <s v="MACUL"/>
    <s v="Suscripciones"/>
    <s v="MACUL"/>
    <s v="R3"/>
    <s v="POR DIA DE FIN DE SEMANA"/>
    <s v="ALEJANDRO MAURICIO FLORES QUIROZ"/>
    <s v="Reparto Fin de semana"/>
    <n v="22500"/>
    <n v="10"/>
    <m/>
    <n v="10"/>
    <n v="225000"/>
    <x v="59"/>
    <x v="59"/>
    <x v="1"/>
    <s v="NETO"/>
    <s v="IMPUESTO"/>
    <s v="TOTAL"/>
    <n v="225000"/>
    <n v="0.19"/>
    <n v="42750"/>
    <n v="267750"/>
    <s v="DEPOSITO"/>
    <s v="ALEJANDRO MAURICIO FLORES QUIROZ"/>
    <s v="15.736.181-3"/>
    <s v="SANTANDER"/>
    <s v="CUENTA CORRIENTE"/>
    <n v="77759743"/>
    <d v="2026-05-31T00:00:00"/>
    <s v="MAYO 2026"/>
    <d v="2026-06-15T00:00:00"/>
    <x v="61"/>
    <n v="0"/>
    <n v="267750"/>
    <s v="_Susc_FAC_ALEJANDRO_FLORES.PDF"/>
  </r>
  <r>
    <s v="PROVIDENCIA"/>
    <s v="Suscripciones"/>
    <s v="PROVIDENCIA"/>
    <s v="LOTA"/>
    <s v="VARIABLE SEGÚN EJEMPLARES"/>
    <s v="CARLOS ANTONIO CALFUCURA HERNANDEZ"/>
    <s v="Reparto Fin de semana"/>
    <n v="283"/>
    <n v="1"/>
    <m/>
    <n v="19076"/>
    <n v="5398508"/>
    <x v="60"/>
    <x v="60"/>
    <x v="1"/>
    <s v="NETO"/>
    <s v="IMPUESTO"/>
    <s v="TOTAL"/>
    <n v="5398508"/>
    <n v="0.19"/>
    <n v="1025716.52"/>
    <n v="6424224"/>
    <s v="DEPOSITO"/>
    <s v="MARCOS GABRIEL CALFUCURA CONOMAN"/>
    <s v="19802236-5"/>
    <s v="FALABELLA"/>
    <s v="CUENTA CORRIENTE"/>
    <n v="11330011340"/>
    <d v="2026-05-31T00:00:00"/>
    <s v="MAYO 2026"/>
    <d v="2026-06-15T00:00:00"/>
    <x v="62"/>
    <n v="0"/>
    <n v="6424224"/>
    <s v="_Susc_FAC_CARLOS_CALFUCURA.PD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922C3-6EC6-437E-B8ED-247BBEEEF43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G68" firstHeaderRow="1" firstDataRow="2" firstDataCol="3"/>
  <pivotFields count="3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numFmtId="41" outline="0" showAll="0"/>
    <pivotField compact="0" outline="0" showAll="0"/>
    <pivotField compact="0" numFmtId="41" outline="0" showAll="0"/>
    <pivotField compact="0" numFmtId="3" outline="0" showAll="0"/>
    <pivotField axis="axisRow" compact="0" outline="0" showAll="0" defaultSubtotal="0">
      <items count="63">
        <item x="59"/>
        <item x="0"/>
        <item x="1"/>
        <item x="2"/>
        <item x="3"/>
        <item x="4"/>
        <item x="43"/>
        <item m="1" x="62"/>
        <item x="5"/>
        <item x="58"/>
        <item x="6"/>
        <item x="7"/>
        <item x="8"/>
        <item x="9"/>
        <item x="50"/>
        <item x="10"/>
        <item x="11"/>
        <item x="55"/>
        <item x="13"/>
        <item x="14"/>
        <item x="15"/>
        <item x="12"/>
        <item x="46"/>
        <item x="44"/>
        <item x="16"/>
        <item x="57"/>
        <item x="17"/>
        <item x="47"/>
        <item x="18"/>
        <item x="51"/>
        <item m="1" x="61"/>
        <item x="19"/>
        <item x="54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53"/>
        <item x="45"/>
        <item x="56"/>
        <item x="35"/>
        <item x="36"/>
        <item x="37"/>
        <item x="34"/>
        <item x="38"/>
        <item x="48"/>
        <item x="42"/>
        <item x="39"/>
        <item x="52"/>
        <item x="40"/>
        <item x="41"/>
        <item x="60"/>
        <item x="49"/>
      </items>
    </pivotField>
    <pivotField axis="axisRow" compact="0" outline="0" showAll="0">
      <items count="124">
        <item m="1" x="106"/>
        <item m="1" x="88"/>
        <item m="1" x="63"/>
        <item m="1" x="105"/>
        <item m="1" x="109"/>
        <item m="1" x="118"/>
        <item m="1" x="114"/>
        <item m="1" x="107"/>
        <item m="1" x="67"/>
        <item m="1" x="98"/>
        <item m="1" x="111"/>
        <item m="1" x="112"/>
        <item m="1" x="73"/>
        <item m="1" x="101"/>
        <item m="1" x="108"/>
        <item m="1" x="76"/>
        <item m="1" x="91"/>
        <item m="1" x="85"/>
        <item m="1" x="89"/>
        <item m="1" x="116"/>
        <item m="1" x="77"/>
        <item m="1" x="121"/>
        <item m="1" x="92"/>
        <item m="1" x="74"/>
        <item m="1" x="79"/>
        <item m="1" x="117"/>
        <item m="1" x="110"/>
        <item m="1" x="113"/>
        <item m="1" x="81"/>
        <item m="1" x="75"/>
        <item m="1" x="94"/>
        <item m="1" x="65"/>
        <item m="1" x="80"/>
        <item m="1" x="99"/>
        <item m="1" x="93"/>
        <item m="1" x="104"/>
        <item m="1" x="66"/>
        <item m="1" x="95"/>
        <item m="1" x="68"/>
        <item m="1" x="64"/>
        <item m="1" x="103"/>
        <item m="1" x="82"/>
        <item m="1" x="122"/>
        <item m="1" x="69"/>
        <item x="42"/>
        <item m="1" x="71"/>
        <item m="1" x="70"/>
        <item m="1" x="97"/>
        <item m="1" x="102"/>
        <item m="1" x="120"/>
        <item m="1" x="119"/>
        <item m="1" x="90"/>
        <item m="1" x="96"/>
        <item m="1" x="83"/>
        <item m="1" x="84"/>
        <item m="1" x="115"/>
        <item m="1" x="72"/>
        <item m="1" x="78"/>
        <item m="1" x="100"/>
        <item m="1" x="86"/>
        <item m="1" x="8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x="45"/>
        <item x="46"/>
        <item x="47"/>
        <item x="48"/>
        <item m="1" x="61"/>
        <item x="50"/>
        <item x="51"/>
        <item x="52"/>
        <item x="53"/>
        <item x="54"/>
        <item x="55"/>
        <item x="56"/>
        <item x="57"/>
        <item x="58"/>
        <item x="59"/>
        <item m="1" x="62"/>
        <item x="60"/>
        <item x="49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0" outline="0" showAll="0"/>
    <pivotField compact="0" numFmtId="165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4" outline="0" showAll="0"/>
    <pivotField axis="axisRow" compact="0" outline="0" showAll="0" defaultSubtota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  <pivotField compact="0" outline="0" showAll="0"/>
    <pivotField compact="0" numFmtId="164" outline="0" showAll="0"/>
    <pivotField compact="0" outline="0" showAll="0"/>
  </pivotFields>
  <rowFields count="3">
    <field x="31"/>
    <field x="12"/>
    <field x="13"/>
  </rowFields>
  <rowItems count="64">
    <i>
      <x/>
      <x v="1"/>
      <x v="61"/>
    </i>
    <i>
      <x v="1"/>
      <x v="2"/>
      <x v="62"/>
    </i>
    <i>
      <x v="2"/>
      <x v="3"/>
      <x v="63"/>
    </i>
    <i>
      <x v="3"/>
      <x v="4"/>
      <x v="64"/>
    </i>
    <i>
      <x v="4"/>
      <x v="5"/>
      <x v="65"/>
    </i>
    <i>
      <x v="5"/>
      <x v="8"/>
      <x v="66"/>
    </i>
    <i>
      <x v="6"/>
      <x v="10"/>
      <x v="67"/>
    </i>
    <i>
      <x v="7"/>
      <x v="11"/>
      <x v="68"/>
    </i>
    <i>
      <x v="8"/>
      <x v="12"/>
      <x v="69"/>
    </i>
    <i>
      <x v="9"/>
      <x v="13"/>
      <x v="70"/>
    </i>
    <i>
      <x v="10"/>
      <x v="15"/>
      <x v="71"/>
    </i>
    <i>
      <x v="11"/>
      <x v="16"/>
      <x v="72"/>
    </i>
    <i>
      <x v="12"/>
      <x v="21"/>
      <x v="73"/>
    </i>
    <i>
      <x v="13"/>
      <x v="18"/>
      <x v="74"/>
    </i>
    <i>
      <x v="14"/>
      <x v="19"/>
      <x v="75"/>
    </i>
    <i>
      <x v="15"/>
      <x v="20"/>
      <x v="76"/>
    </i>
    <i>
      <x v="16"/>
      <x v="24"/>
      <x v="77"/>
    </i>
    <i>
      <x v="17"/>
      <x v="26"/>
      <x v="78"/>
    </i>
    <i>
      <x v="18"/>
      <x v="28"/>
      <x v="79"/>
    </i>
    <i>
      <x v="19"/>
      <x v="31"/>
      <x v="80"/>
    </i>
    <i>
      <x v="20"/>
      <x v="33"/>
      <x v="81"/>
    </i>
    <i>
      <x v="21"/>
      <x v="34"/>
      <x v="82"/>
    </i>
    <i>
      <x v="22"/>
      <x v="35"/>
      <x v="83"/>
    </i>
    <i>
      <x v="23"/>
      <x v="36"/>
      <x v="84"/>
    </i>
    <i>
      <x v="24"/>
      <x v="37"/>
      <x v="85"/>
    </i>
    <i>
      <x v="25"/>
      <x v="38"/>
      <x v="86"/>
    </i>
    <i>
      <x v="26"/>
      <x v="39"/>
      <x v="87"/>
    </i>
    <i>
      <x v="27"/>
      <x v="40"/>
      <x v="88"/>
    </i>
    <i>
      <x v="28"/>
      <x v="41"/>
      <x v="89"/>
    </i>
    <i>
      <x v="29"/>
      <x v="42"/>
      <x v="90"/>
    </i>
    <i>
      <x v="30"/>
      <x v="43"/>
      <x v="91"/>
    </i>
    <i>
      <x v="31"/>
      <x v="44"/>
      <x v="92"/>
    </i>
    <i>
      <x v="32"/>
      <x v="45"/>
      <x v="93"/>
    </i>
    <i>
      <x v="33"/>
      <x v="46"/>
      <x v="94"/>
    </i>
    <i>
      <x v="34"/>
      <x v="53"/>
      <x v="95"/>
    </i>
    <i>
      <x v="35"/>
      <x v="50"/>
      <x v="96"/>
    </i>
    <i>
      <x v="36"/>
      <x v="51"/>
      <x v="97"/>
    </i>
    <i>
      <x v="37"/>
      <x v="52"/>
      <x v="98"/>
    </i>
    <i>
      <x v="38"/>
      <x v="53"/>
      <x v="95"/>
    </i>
    <i>
      <x v="39"/>
      <x v="54"/>
      <x v="99"/>
    </i>
    <i>
      <x v="40"/>
      <x v="57"/>
      <x v="100"/>
    </i>
    <i>
      <x v="41"/>
      <x v="59"/>
      <x v="101"/>
    </i>
    <i>
      <x v="42"/>
      <x v="60"/>
      <x v="102"/>
    </i>
    <i>
      <x v="43"/>
      <x v="56"/>
      <x v="44"/>
    </i>
    <i>
      <x v="44"/>
      <x v="6"/>
      <x v="103"/>
    </i>
    <i>
      <x v="45"/>
      <x v="23"/>
      <x v="104"/>
    </i>
    <i>
      <x v="46"/>
      <x v="48"/>
      <x v="105"/>
    </i>
    <i>
      <x v="47"/>
      <x v="22"/>
      <x v="106"/>
    </i>
    <i>
      <x v="48"/>
      <x v="27"/>
      <x v="107"/>
    </i>
    <i>
      <x v="49"/>
      <x v="55"/>
      <x v="108"/>
    </i>
    <i>
      <x v="50"/>
      <x v="62"/>
      <x v="122"/>
    </i>
    <i>
      <x v="51"/>
      <x v="14"/>
      <x v="110"/>
    </i>
    <i>
      <x v="52"/>
      <x v="29"/>
      <x v="111"/>
    </i>
    <i>
      <x v="53"/>
      <x v="58"/>
      <x v="112"/>
    </i>
    <i>
      <x v="54"/>
      <x v="35"/>
      <x v="83"/>
    </i>
    <i>
      <x v="55"/>
      <x v="47"/>
      <x v="113"/>
    </i>
    <i>
      <x v="56"/>
      <x v="32"/>
      <x v="114"/>
    </i>
    <i>
      <x v="57"/>
      <x v="17"/>
      <x v="115"/>
    </i>
    <i>
      <x v="58"/>
      <x v="49"/>
      <x v="116"/>
    </i>
    <i>
      <x v="59"/>
      <x v="25"/>
      <x v="117"/>
    </i>
    <i>
      <x v="60"/>
      <x v="9"/>
      <x v="118"/>
    </i>
    <i>
      <x v="61"/>
      <x/>
      <x v="119"/>
    </i>
    <i>
      <x v="62"/>
      <x v="61"/>
      <x v="121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a de LIQUIDO" fld="21" baseField="0" baseItem="0" numFmtId="164"/>
  </dataFields>
  <formats count="4">
    <format dxfId="3">
      <pivotArea outline="0" fieldPosition="0">
        <references count="3">
          <reference field="12" count="1" selected="0">
            <x v="53"/>
          </reference>
          <reference field="13" count="1" selected="0">
            <x v="95"/>
          </reference>
          <reference field="31" count="1" selected="0">
            <x v="34"/>
          </reference>
        </references>
      </pivotArea>
    </format>
    <format dxfId="2">
      <pivotArea dataOnly="0" labelOnly="1" outline="0" fieldPosition="0">
        <references count="1">
          <reference field="31" count="1">
            <x v="34"/>
          </reference>
        </references>
      </pivotArea>
    </format>
    <format dxfId="1">
      <pivotArea dataOnly="0" labelOnly="1" outline="0" fieldPosition="0">
        <references count="2">
          <reference field="12" count="1">
            <x v="53"/>
          </reference>
          <reference field="31" count="1" selected="0">
            <x v="34"/>
          </reference>
        </references>
      </pivotArea>
    </format>
    <format dxfId="0">
      <pivotArea dataOnly="0" labelOnly="1" outline="0" fieldPosition="0">
        <references count="3">
          <reference field="12" count="1" selected="0">
            <x v="53"/>
          </reference>
          <reference field="13" count="1">
            <x v="95"/>
          </reference>
          <reference field="31" count="1" selected="0"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509F-3F7B-451D-A251-4E67883DAD65}">
  <dimension ref="A1:AJ172"/>
  <sheetViews>
    <sheetView tabSelected="1" topLeftCell="B1" workbookViewId="0">
      <selection activeCell="A136" sqref="A136:XFD136"/>
    </sheetView>
  </sheetViews>
  <sheetFormatPr baseColWidth="10" defaultColWidth="11.42578125" defaultRowHeight="15"/>
  <cols>
    <col min="1" max="1" width="13.28515625" bestFit="1" customWidth="1"/>
    <col min="2" max="2" width="22.42578125" bestFit="1" customWidth="1"/>
    <col min="3" max="3" width="12.7109375" bestFit="1" customWidth="1"/>
    <col min="4" max="4" width="19.7109375" bestFit="1" customWidth="1"/>
    <col min="5" max="5" width="32.7109375" bestFit="1" customWidth="1"/>
    <col min="6" max="6" width="32.7109375" customWidth="1"/>
    <col min="7" max="7" width="40.7109375" bestFit="1" customWidth="1"/>
    <col min="8" max="8" width="24.85546875" bestFit="1" customWidth="1"/>
    <col min="9" max="9" width="8.85546875" bestFit="1" customWidth="1"/>
    <col min="10" max="10" width="15.140625" bestFit="1" customWidth="1"/>
    <col min="11" max="11" width="16.28515625" bestFit="1" customWidth="1"/>
    <col min="12" max="12" width="11.7109375" bestFit="1" customWidth="1"/>
    <col min="13" max="13" width="9.140625" bestFit="1" customWidth="1"/>
    <col min="14" max="14" width="42.28515625" bestFit="1" customWidth="1"/>
    <col min="15" max="15" width="15.28515625" bestFit="1" customWidth="1"/>
    <col min="16" max="16" width="12.28515625" bestFit="1" customWidth="1"/>
    <col min="17" max="17" width="24.28515625" bestFit="1" customWidth="1"/>
    <col min="18" max="19" width="16" bestFit="1" customWidth="1"/>
    <col min="20" max="20" width="14.42578125" bestFit="1" customWidth="1"/>
    <col min="21" max="21" width="11.85546875" bestFit="1" customWidth="1"/>
    <col min="22" max="22" width="18.28515625" bestFit="1" customWidth="1"/>
    <col min="23" max="23" width="11.7109375" bestFit="1" customWidth="1"/>
    <col min="24" max="24" width="14.7109375" bestFit="1" customWidth="1"/>
    <col min="25" max="25" width="43.5703125" bestFit="1" customWidth="1"/>
    <col min="26" max="26" width="15.28515625" bestFit="1" customWidth="1"/>
    <col min="27" max="27" width="21" bestFit="1" customWidth="1"/>
    <col min="28" max="28" width="17.85546875" bestFit="1" customWidth="1"/>
    <col min="29" max="29" width="18.28515625" bestFit="1" customWidth="1"/>
    <col min="30" max="30" width="10.28515625" bestFit="1" customWidth="1"/>
    <col min="31" max="31" width="11" bestFit="1" customWidth="1"/>
    <col min="32" max="32" width="10.28515625" bestFit="1" customWidth="1"/>
    <col min="33" max="33" width="9" bestFit="1" customWidth="1"/>
    <col min="34" max="34" width="13.28515625" bestFit="1" customWidth="1"/>
    <col min="35" max="35" width="16.85546875" bestFit="1" customWidth="1"/>
    <col min="36" max="36" width="42.7109375" bestFit="1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s="18" t="s">
        <v>4</v>
      </c>
      <c r="F1" s="18" t="s">
        <v>5</v>
      </c>
      <c r="G1" t="s">
        <v>6</v>
      </c>
      <c r="H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3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t="s">
        <v>23</v>
      </c>
      <c r="Y1" s="6" t="s">
        <v>24</v>
      </c>
      <c r="Z1" s="6" t="s">
        <v>14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7" t="s">
        <v>34</v>
      </c>
    </row>
    <row r="2" spans="1:36">
      <c r="A2" t="s">
        <v>35</v>
      </c>
      <c r="B2" t="s">
        <v>36</v>
      </c>
      <c r="C2" t="s">
        <v>35</v>
      </c>
      <c r="D2" t="s">
        <v>37</v>
      </c>
      <c r="E2" s="18" t="s">
        <v>38</v>
      </c>
      <c r="F2" s="18" t="s">
        <v>39</v>
      </c>
      <c r="G2" t="s">
        <v>40</v>
      </c>
      <c r="H2" t="s">
        <v>41</v>
      </c>
      <c r="I2" s="8">
        <v>32000</v>
      </c>
      <c r="J2" s="8">
        <v>10</v>
      </c>
      <c r="K2" s="8"/>
      <c r="L2" s="8">
        <f t="shared" ref="L2:L50" si="0">+J2-K2</f>
        <v>10</v>
      </c>
      <c r="M2" s="9">
        <f t="shared" ref="M2:M50" si="1">+I2*L2</f>
        <v>320000</v>
      </c>
      <c r="N2" t="s">
        <v>40</v>
      </c>
      <c r="O2" t="s">
        <v>42</v>
      </c>
      <c r="P2" t="s">
        <v>43</v>
      </c>
      <c r="Q2" t="str">
        <f t="shared" ref="Q2:Q9" si="2">+IF(P2="FACTURA","NETO",IF(P2="BOLETA","BRUTO","TOTAL"))</f>
        <v>BRUTO</v>
      </c>
      <c r="R2" t="str">
        <f t="shared" ref="R2:R9" si="3">+IF(Q2="BRUTO","RETENCION","IMPUESTO")</f>
        <v>RETENCION</v>
      </c>
      <c r="S2" t="str">
        <f t="shared" ref="S2:S9" si="4">+IF(Q2="BRUTO","LIQUIDO A PAGAR","TOTAL")</f>
        <v>LIQUIDO A PAGAR</v>
      </c>
      <c r="T2" s="10">
        <f t="shared" ref="T2:T50" si="5">+M2</f>
        <v>320000</v>
      </c>
      <c r="U2" s="11">
        <v>0.1525</v>
      </c>
      <c r="V2" s="12">
        <f t="shared" ref="V2:V50" si="6">+T2*U2</f>
        <v>48800</v>
      </c>
      <c r="W2" s="10">
        <f t="shared" ref="W2:W50" si="7">+IF(P2="BOLETA",INT(T2-V2),IF(P2="FACTURA EXENTA",INT(T2),INT(T2+V2)))</f>
        <v>271200</v>
      </c>
      <c r="X2" s="10" t="s">
        <v>44</v>
      </c>
      <c r="Y2" t="s">
        <v>40</v>
      </c>
      <c r="Z2" t="s">
        <v>45</v>
      </c>
      <c r="AA2" t="s">
        <v>46</v>
      </c>
      <c r="AB2" t="s">
        <v>47</v>
      </c>
      <c r="AC2">
        <v>55560006443</v>
      </c>
      <c r="AD2" s="13">
        <v>46173</v>
      </c>
      <c r="AE2" s="14" t="s">
        <v>48</v>
      </c>
      <c r="AF2" s="13">
        <v>46188</v>
      </c>
      <c r="AG2">
        <v>20260501</v>
      </c>
      <c r="AH2">
        <v>0</v>
      </c>
      <c r="AI2" s="15">
        <f t="shared" ref="AI2:AI33" si="8">+W2-AH2</f>
        <v>271200</v>
      </c>
      <c r="AJ2" t="s">
        <v>49</v>
      </c>
    </row>
    <row r="3" spans="1:36">
      <c r="A3" t="s">
        <v>50</v>
      </c>
      <c r="B3" t="s">
        <v>36</v>
      </c>
      <c r="C3" t="s">
        <v>50</v>
      </c>
      <c r="D3" t="s">
        <v>51</v>
      </c>
      <c r="E3" s="18" t="s">
        <v>38</v>
      </c>
      <c r="F3" s="18" t="s">
        <v>52</v>
      </c>
      <c r="G3" t="s">
        <v>53</v>
      </c>
      <c r="H3" t="s">
        <v>41</v>
      </c>
      <c r="I3" s="8">
        <v>31000</v>
      </c>
      <c r="J3" s="8">
        <v>10</v>
      </c>
      <c r="K3" s="8">
        <v>1</v>
      </c>
      <c r="L3" s="8">
        <f t="shared" si="0"/>
        <v>9</v>
      </c>
      <c r="M3" s="9">
        <f t="shared" si="1"/>
        <v>279000</v>
      </c>
      <c r="N3" t="s">
        <v>53</v>
      </c>
      <c r="O3" t="s">
        <v>54</v>
      </c>
      <c r="P3" t="s">
        <v>43</v>
      </c>
      <c r="Q3" t="str">
        <f t="shared" si="2"/>
        <v>BRUTO</v>
      </c>
      <c r="R3" t="str">
        <f t="shared" si="3"/>
        <v>RETENCION</v>
      </c>
      <c r="S3" t="str">
        <f t="shared" si="4"/>
        <v>LIQUIDO A PAGAR</v>
      </c>
      <c r="T3" s="10">
        <f t="shared" si="5"/>
        <v>279000</v>
      </c>
      <c r="U3" s="11">
        <v>0.1525</v>
      </c>
      <c r="V3" s="12">
        <f t="shared" si="6"/>
        <v>42547.5</v>
      </c>
      <c r="W3" s="10">
        <f t="shared" si="7"/>
        <v>236452</v>
      </c>
      <c r="X3" s="10" t="s">
        <v>44</v>
      </c>
      <c r="Y3" t="s">
        <v>55</v>
      </c>
      <c r="Z3" t="s">
        <v>56</v>
      </c>
      <c r="AA3" t="s">
        <v>57</v>
      </c>
      <c r="AB3" t="s">
        <v>47</v>
      </c>
      <c r="AC3">
        <v>52222103</v>
      </c>
      <c r="AD3" s="13">
        <v>46173</v>
      </c>
      <c r="AE3" s="14" t="s">
        <v>48</v>
      </c>
      <c r="AF3" s="13">
        <v>46188</v>
      </c>
      <c r="AG3">
        <v>20260502</v>
      </c>
      <c r="AH3">
        <v>0</v>
      </c>
      <c r="AI3" s="15">
        <f t="shared" si="8"/>
        <v>236452</v>
      </c>
      <c r="AJ3" t="s">
        <v>58</v>
      </c>
    </row>
    <row r="4" spans="1:36">
      <c r="A4" t="s">
        <v>50</v>
      </c>
      <c r="B4" t="s">
        <v>36</v>
      </c>
      <c r="C4" t="s">
        <v>50</v>
      </c>
      <c r="D4" t="s">
        <v>59</v>
      </c>
      <c r="E4" s="18" t="s">
        <v>38</v>
      </c>
      <c r="F4" s="18" t="s">
        <v>52</v>
      </c>
      <c r="G4" t="s">
        <v>53</v>
      </c>
      <c r="H4" t="s">
        <v>41</v>
      </c>
      <c r="I4" s="8">
        <v>15000</v>
      </c>
      <c r="J4" s="8">
        <v>10</v>
      </c>
      <c r="K4" s="8">
        <v>1</v>
      </c>
      <c r="L4" s="8">
        <f t="shared" si="0"/>
        <v>9</v>
      </c>
      <c r="M4" s="9">
        <f t="shared" si="1"/>
        <v>135000</v>
      </c>
      <c r="N4" t="s">
        <v>53</v>
      </c>
      <c r="O4" t="s">
        <v>54</v>
      </c>
      <c r="P4" t="s">
        <v>43</v>
      </c>
      <c r="Q4" t="str">
        <f t="shared" si="2"/>
        <v>BRUTO</v>
      </c>
      <c r="R4" t="str">
        <f t="shared" si="3"/>
        <v>RETENCION</v>
      </c>
      <c r="S4" t="str">
        <f t="shared" si="4"/>
        <v>LIQUIDO A PAGAR</v>
      </c>
      <c r="T4" s="10">
        <f t="shared" si="5"/>
        <v>135000</v>
      </c>
      <c r="U4" s="11">
        <v>0.1525</v>
      </c>
      <c r="V4" s="12">
        <f t="shared" si="6"/>
        <v>20587.5</v>
      </c>
      <c r="W4" s="10">
        <f t="shared" si="7"/>
        <v>114412</v>
      </c>
      <c r="X4" s="10" t="s">
        <v>44</v>
      </c>
      <c r="Y4" t="s">
        <v>55</v>
      </c>
      <c r="Z4" t="s">
        <v>56</v>
      </c>
      <c r="AA4" t="s">
        <v>57</v>
      </c>
      <c r="AB4" t="s">
        <v>47</v>
      </c>
      <c r="AC4">
        <v>52222103</v>
      </c>
      <c r="AD4" s="13">
        <v>46173</v>
      </c>
      <c r="AE4" s="14" t="s">
        <v>48</v>
      </c>
      <c r="AF4" s="13">
        <v>46188</v>
      </c>
      <c r="AG4">
        <v>20260502</v>
      </c>
      <c r="AH4">
        <v>0</v>
      </c>
      <c r="AI4" s="15">
        <f t="shared" si="8"/>
        <v>114412</v>
      </c>
      <c r="AJ4" t="s">
        <v>58</v>
      </c>
    </row>
    <row r="5" spans="1:36">
      <c r="A5" t="s">
        <v>50</v>
      </c>
      <c r="B5" t="s">
        <v>36</v>
      </c>
      <c r="C5" t="s">
        <v>50</v>
      </c>
      <c r="D5" t="s">
        <v>60</v>
      </c>
      <c r="E5" s="18" t="s">
        <v>38</v>
      </c>
      <c r="F5" s="18" t="s">
        <v>52</v>
      </c>
      <c r="G5" t="s">
        <v>53</v>
      </c>
      <c r="H5" t="s">
        <v>41</v>
      </c>
      <c r="I5" s="8">
        <v>14500</v>
      </c>
      <c r="J5" s="8">
        <v>10</v>
      </c>
      <c r="K5" s="8">
        <v>1</v>
      </c>
      <c r="L5" s="8">
        <f t="shared" si="0"/>
        <v>9</v>
      </c>
      <c r="M5" s="9">
        <f t="shared" si="1"/>
        <v>130500</v>
      </c>
      <c r="N5" t="s">
        <v>53</v>
      </c>
      <c r="O5" t="s">
        <v>54</v>
      </c>
      <c r="P5" t="s">
        <v>43</v>
      </c>
      <c r="Q5" t="str">
        <f t="shared" si="2"/>
        <v>BRUTO</v>
      </c>
      <c r="R5" t="str">
        <f t="shared" si="3"/>
        <v>RETENCION</v>
      </c>
      <c r="S5" t="str">
        <f t="shared" si="4"/>
        <v>LIQUIDO A PAGAR</v>
      </c>
      <c r="T5" s="10">
        <f t="shared" si="5"/>
        <v>130500</v>
      </c>
      <c r="U5" s="11">
        <v>0.1525</v>
      </c>
      <c r="V5" s="12">
        <f t="shared" si="6"/>
        <v>19901.25</v>
      </c>
      <c r="W5" s="10">
        <f t="shared" si="7"/>
        <v>110598</v>
      </c>
      <c r="X5" s="10" t="s">
        <v>44</v>
      </c>
      <c r="Y5" t="s">
        <v>55</v>
      </c>
      <c r="Z5" t="s">
        <v>56</v>
      </c>
      <c r="AA5" t="s">
        <v>57</v>
      </c>
      <c r="AB5" t="s">
        <v>47</v>
      </c>
      <c r="AC5">
        <v>52222103</v>
      </c>
      <c r="AD5" s="13">
        <v>46173</v>
      </c>
      <c r="AE5" s="14" t="s">
        <v>48</v>
      </c>
      <c r="AF5" s="13">
        <v>46188</v>
      </c>
      <c r="AG5">
        <v>20260502</v>
      </c>
      <c r="AH5">
        <v>0</v>
      </c>
      <c r="AI5" s="15">
        <f t="shared" si="8"/>
        <v>110598</v>
      </c>
      <c r="AJ5" t="s">
        <v>58</v>
      </c>
    </row>
    <row r="6" spans="1:36">
      <c r="A6" t="s">
        <v>61</v>
      </c>
      <c r="B6" t="s">
        <v>36</v>
      </c>
      <c r="C6" t="s">
        <v>61</v>
      </c>
      <c r="D6" t="s">
        <v>62</v>
      </c>
      <c r="E6" s="18" t="s">
        <v>38</v>
      </c>
      <c r="F6" s="18" t="s">
        <v>63</v>
      </c>
      <c r="G6" t="s">
        <v>64</v>
      </c>
      <c r="H6" t="s">
        <v>41</v>
      </c>
      <c r="I6" s="8">
        <v>24000</v>
      </c>
      <c r="J6" s="8">
        <v>10</v>
      </c>
      <c r="K6" s="8"/>
      <c r="L6" s="8">
        <f t="shared" si="0"/>
        <v>10</v>
      </c>
      <c r="M6" s="9">
        <f t="shared" si="1"/>
        <v>240000</v>
      </c>
      <c r="N6" t="s">
        <v>65</v>
      </c>
      <c r="O6" t="s">
        <v>66</v>
      </c>
      <c r="P6" t="s">
        <v>43</v>
      </c>
      <c r="Q6" t="str">
        <f t="shared" si="2"/>
        <v>BRUTO</v>
      </c>
      <c r="R6" t="str">
        <f t="shared" si="3"/>
        <v>RETENCION</v>
      </c>
      <c r="S6" t="str">
        <f t="shared" si="4"/>
        <v>LIQUIDO A PAGAR</v>
      </c>
      <c r="T6" s="10">
        <f t="shared" si="5"/>
        <v>240000</v>
      </c>
      <c r="U6" s="11">
        <v>0.1525</v>
      </c>
      <c r="V6" s="12">
        <f t="shared" si="6"/>
        <v>36600</v>
      </c>
      <c r="W6" s="10">
        <f t="shared" si="7"/>
        <v>203400</v>
      </c>
      <c r="X6" s="10" t="s">
        <v>44</v>
      </c>
      <c r="Y6" t="s">
        <v>65</v>
      </c>
      <c r="Z6" t="s">
        <v>67</v>
      </c>
      <c r="AA6" t="s">
        <v>68</v>
      </c>
      <c r="AB6" t="s">
        <v>47</v>
      </c>
      <c r="AC6">
        <v>21367783</v>
      </c>
      <c r="AD6" s="13">
        <v>46173</v>
      </c>
      <c r="AE6" s="14" t="s">
        <v>48</v>
      </c>
      <c r="AF6" s="13">
        <v>46188</v>
      </c>
      <c r="AG6">
        <v>20260503</v>
      </c>
      <c r="AH6">
        <v>0</v>
      </c>
      <c r="AI6" s="15">
        <f t="shared" si="8"/>
        <v>203400</v>
      </c>
      <c r="AJ6" t="s">
        <v>69</v>
      </c>
    </row>
    <row r="7" spans="1:36">
      <c r="A7" t="s">
        <v>61</v>
      </c>
      <c r="B7" t="s">
        <v>36</v>
      </c>
      <c r="C7" t="s">
        <v>61</v>
      </c>
      <c r="D7" t="s">
        <v>70</v>
      </c>
      <c r="E7" s="18" t="s">
        <v>38</v>
      </c>
      <c r="F7" s="18" t="s">
        <v>63</v>
      </c>
      <c r="G7" t="s">
        <v>64</v>
      </c>
      <c r="H7" t="s">
        <v>41</v>
      </c>
      <c r="I7" s="8">
        <v>25000</v>
      </c>
      <c r="J7" s="8">
        <v>10</v>
      </c>
      <c r="K7" s="8"/>
      <c r="L7" s="8">
        <f t="shared" si="0"/>
        <v>10</v>
      </c>
      <c r="M7" s="9">
        <f t="shared" si="1"/>
        <v>250000</v>
      </c>
      <c r="N7" t="s">
        <v>65</v>
      </c>
      <c r="O7" t="s">
        <v>66</v>
      </c>
      <c r="P7" t="s">
        <v>43</v>
      </c>
      <c r="Q7" t="str">
        <f t="shared" si="2"/>
        <v>BRUTO</v>
      </c>
      <c r="R7" t="str">
        <f t="shared" si="3"/>
        <v>RETENCION</v>
      </c>
      <c r="S7" t="str">
        <f t="shared" si="4"/>
        <v>LIQUIDO A PAGAR</v>
      </c>
      <c r="T7" s="10">
        <f t="shared" si="5"/>
        <v>250000</v>
      </c>
      <c r="U7" s="11">
        <v>0.1525</v>
      </c>
      <c r="V7" s="12">
        <f t="shared" si="6"/>
        <v>38125</v>
      </c>
      <c r="W7" s="10">
        <f t="shared" si="7"/>
        <v>211875</v>
      </c>
      <c r="X7" s="10" t="s">
        <v>44</v>
      </c>
      <c r="Y7" t="s">
        <v>65</v>
      </c>
      <c r="Z7" t="s">
        <v>67</v>
      </c>
      <c r="AA7" t="s">
        <v>68</v>
      </c>
      <c r="AB7" t="s">
        <v>47</v>
      </c>
      <c r="AC7">
        <v>21367783</v>
      </c>
      <c r="AD7" s="13">
        <v>46173</v>
      </c>
      <c r="AE7" s="14" t="s">
        <v>48</v>
      </c>
      <c r="AF7" s="13">
        <v>46188</v>
      </c>
      <c r="AG7">
        <v>20260503</v>
      </c>
      <c r="AH7">
        <v>0</v>
      </c>
      <c r="AI7" s="15">
        <f t="shared" si="8"/>
        <v>211875</v>
      </c>
      <c r="AJ7" t="s">
        <v>69</v>
      </c>
    </row>
    <row r="8" spans="1:36">
      <c r="A8" t="s">
        <v>71</v>
      </c>
      <c r="B8" t="s">
        <v>36</v>
      </c>
      <c r="C8" t="s">
        <v>71</v>
      </c>
      <c r="D8" t="s">
        <v>72</v>
      </c>
      <c r="E8" s="18" t="s">
        <v>38</v>
      </c>
      <c r="F8" s="18" t="s">
        <v>73</v>
      </c>
      <c r="G8" t="s">
        <v>74</v>
      </c>
      <c r="H8" t="s">
        <v>41</v>
      </c>
      <c r="I8" s="8">
        <v>45000</v>
      </c>
      <c r="J8" s="8">
        <v>10</v>
      </c>
      <c r="K8" s="8"/>
      <c r="L8" s="8">
        <f t="shared" si="0"/>
        <v>10</v>
      </c>
      <c r="M8" s="9">
        <f t="shared" si="1"/>
        <v>450000</v>
      </c>
      <c r="N8" t="s">
        <v>75</v>
      </c>
      <c r="O8" t="s">
        <v>76</v>
      </c>
      <c r="P8" t="s">
        <v>77</v>
      </c>
      <c r="Q8" t="str">
        <f t="shared" si="2"/>
        <v>NETO</v>
      </c>
      <c r="R8" t="str">
        <f t="shared" si="3"/>
        <v>IMPUESTO</v>
      </c>
      <c r="S8" t="str">
        <f t="shared" si="4"/>
        <v>TOTAL</v>
      </c>
      <c r="T8" s="10">
        <f t="shared" si="5"/>
        <v>450000</v>
      </c>
      <c r="U8" s="11">
        <f t="shared" ref="U8:U13" si="9">+IF(P8="TRATO",0,IF(P8="BOLETA",13%,19%))</f>
        <v>0.19</v>
      </c>
      <c r="V8" s="12">
        <f t="shared" si="6"/>
        <v>85500</v>
      </c>
      <c r="W8" s="10">
        <f t="shared" si="7"/>
        <v>535500</v>
      </c>
      <c r="X8" s="10" t="s">
        <v>44</v>
      </c>
      <c r="Y8" t="s">
        <v>75</v>
      </c>
      <c r="Z8" t="s">
        <v>78</v>
      </c>
      <c r="AA8" t="s">
        <v>68</v>
      </c>
      <c r="AB8" t="s">
        <v>47</v>
      </c>
      <c r="AC8">
        <v>252713239</v>
      </c>
      <c r="AD8" s="13">
        <v>46173</v>
      </c>
      <c r="AE8" s="14" t="s">
        <v>48</v>
      </c>
      <c r="AF8" s="13">
        <v>46188</v>
      </c>
      <c r="AG8">
        <v>20260504</v>
      </c>
      <c r="AH8">
        <v>0</v>
      </c>
      <c r="AI8" s="15">
        <f t="shared" si="8"/>
        <v>535500</v>
      </c>
      <c r="AJ8" t="s">
        <v>79</v>
      </c>
    </row>
    <row r="9" spans="1:36">
      <c r="A9" t="s">
        <v>71</v>
      </c>
      <c r="B9" t="s">
        <v>36</v>
      </c>
      <c r="C9" t="s">
        <v>71</v>
      </c>
      <c r="D9" t="s">
        <v>80</v>
      </c>
      <c r="E9" s="18" t="s">
        <v>38</v>
      </c>
      <c r="F9" s="18" t="s">
        <v>73</v>
      </c>
      <c r="G9" t="s">
        <v>81</v>
      </c>
      <c r="H9" t="s">
        <v>41</v>
      </c>
      <c r="I9" s="8">
        <v>13000</v>
      </c>
      <c r="J9" s="8">
        <v>10</v>
      </c>
      <c r="K9" s="8"/>
      <c r="L9" s="8">
        <f t="shared" si="0"/>
        <v>10</v>
      </c>
      <c r="M9" s="9">
        <f t="shared" si="1"/>
        <v>130000</v>
      </c>
      <c r="N9" t="s">
        <v>75</v>
      </c>
      <c r="O9" t="s">
        <v>76</v>
      </c>
      <c r="P9" t="s">
        <v>77</v>
      </c>
      <c r="Q9" t="str">
        <f t="shared" si="2"/>
        <v>NETO</v>
      </c>
      <c r="R9" t="str">
        <f t="shared" si="3"/>
        <v>IMPUESTO</v>
      </c>
      <c r="S9" t="str">
        <f t="shared" si="4"/>
        <v>TOTAL</v>
      </c>
      <c r="T9" s="10">
        <f t="shared" si="5"/>
        <v>130000</v>
      </c>
      <c r="U9" s="11">
        <f t="shared" si="9"/>
        <v>0.19</v>
      </c>
      <c r="V9" s="12">
        <f t="shared" si="6"/>
        <v>24700</v>
      </c>
      <c r="W9" s="10">
        <f t="shared" si="7"/>
        <v>154700</v>
      </c>
      <c r="X9" s="10" t="s">
        <v>44</v>
      </c>
      <c r="Y9" t="s">
        <v>75</v>
      </c>
      <c r="Z9" t="s">
        <v>78</v>
      </c>
      <c r="AA9" t="s">
        <v>68</v>
      </c>
      <c r="AB9" t="s">
        <v>47</v>
      </c>
      <c r="AC9">
        <v>252713239</v>
      </c>
      <c r="AD9" s="13">
        <v>46173</v>
      </c>
      <c r="AE9" s="14" t="s">
        <v>48</v>
      </c>
      <c r="AF9" s="13">
        <v>46188</v>
      </c>
      <c r="AG9">
        <v>20260504</v>
      </c>
      <c r="AH9">
        <v>0</v>
      </c>
      <c r="AI9" s="15">
        <f t="shared" si="8"/>
        <v>154700</v>
      </c>
      <c r="AJ9" t="s">
        <v>79</v>
      </c>
    </row>
    <row r="10" spans="1:36">
      <c r="A10" t="s">
        <v>82</v>
      </c>
      <c r="B10" t="s">
        <v>36</v>
      </c>
      <c r="C10" t="s">
        <v>82</v>
      </c>
      <c r="D10" t="s">
        <v>83</v>
      </c>
      <c r="E10" s="18" t="s">
        <v>38</v>
      </c>
      <c r="F10" s="18" t="s">
        <v>73</v>
      </c>
      <c r="G10" t="s">
        <v>81</v>
      </c>
      <c r="H10" t="s">
        <v>41</v>
      </c>
      <c r="I10" s="8">
        <v>13000</v>
      </c>
      <c r="J10" s="8">
        <v>10</v>
      </c>
      <c r="K10" s="8"/>
      <c r="L10" s="8">
        <f t="shared" si="0"/>
        <v>10</v>
      </c>
      <c r="M10" s="9">
        <f t="shared" si="1"/>
        <v>130000</v>
      </c>
      <c r="N10" t="s">
        <v>75</v>
      </c>
      <c r="O10" t="s">
        <v>76</v>
      </c>
      <c r="P10" t="s">
        <v>77</v>
      </c>
      <c r="Q10" t="s">
        <v>84</v>
      </c>
      <c r="R10" t="s">
        <v>20</v>
      </c>
      <c r="S10" t="s">
        <v>85</v>
      </c>
      <c r="T10" s="10">
        <f t="shared" si="5"/>
        <v>130000</v>
      </c>
      <c r="U10" s="11">
        <f t="shared" si="9"/>
        <v>0.19</v>
      </c>
      <c r="V10" s="12">
        <f t="shared" si="6"/>
        <v>24700</v>
      </c>
      <c r="W10" s="10">
        <f t="shared" si="7"/>
        <v>154700</v>
      </c>
      <c r="X10" s="10" t="s">
        <v>44</v>
      </c>
      <c r="Y10" t="s">
        <v>75</v>
      </c>
      <c r="Z10" t="s">
        <v>78</v>
      </c>
      <c r="AA10" t="s">
        <v>68</v>
      </c>
      <c r="AB10" t="s">
        <v>47</v>
      </c>
      <c r="AC10">
        <v>252713239</v>
      </c>
      <c r="AD10" s="13">
        <v>46173</v>
      </c>
      <c r="AE10" s="14" t="s">
        <v>48</v>
      </c>
      <c r="AF10" s="13">
        <v>46188</v>
      </c>
      <c r="AG10">
        <v>20260504</v>
      </c>
      <c r="AH10">
        <v>0</v>
      </c>
      <c r="AI10" s="15">
        <f t="shared" si="8"/>
        <v>154700</v>
      </c>
      <c r="AJ10" t="s">
        <v>79</v>
      </c>
    </row>
    <row r="11" spans="1:36">
      <c r="A11" t="s">
        <v>82</v>
      </c>
      <c r="B11" t="s">
        <v>36</v>
      </c>
      <c r="C11" t="s">
        <v>82</v>
      </c>
      <c r="D11" t="s">
        <v>86</v>
      </c>
      <c r="E11" s="18" t="s">
        <v>38</v>
      </c>
      <c r="F11" s="18" t="s">
        <v>73</v>
      </c>
      <c r="G11" t="s">
        <v>81</v>
      </c>
      <c r="H11" t="s">
        <v>41</v>
      </c>
      <c r="I11" s="8">
        <v>13000</v>
      </c>
      <c r="J11" s="8">
        <v>10</v>
      </c>
      <c r="K11" s="8"/>
      <c r="L11" s="8">
        <f t="shared" si="0"/>
        <v>10</v>
      </c>
      <c r="M11" s="9">
        <f t="shared" si="1"/>
        <v>130000</v>
      </c>
      <c r="N11" t="s">
        <v>75</v>
      </c>
      <c r="O11" t="s">
        <v>76</v>
      </c>
      <c r="P11" t="s">
        <v>77</v>
      </c>
      <c r="Q11" t="str">
        <f t="shared" ref="Q11:Q13" si="10">+IF(P11="FACTURA","NETO",IF(P11="BOLETA","BRUTO","TOTAL"))</f>
        <v>NETO</v>
      </c>
      <c r="R11" t="str">
        <f t="shared" ref="R11:R13" si="11">+IF(Q11="BRUTO","RETENCION","IMPUESTO")</f>
        <v>IMPUESTO</v>
      </c>
      <c r="S11" t="str">
        <f t="shared" ref="S11:S59" si="12">+IF(Q11="BRUTO","LIQUIDO A PAGAR","TOTAL")</f>
        <v>TOTAL</v>
      </c>
      <c r="T11" s="10">
        <f t="shared" si="5"/>
        <v>130000</v>
      </c>
      <c r="U11" s="11">
        <f t="shared" si="9"/>
        <v>0.19</v>
      </c>
      <c r="V11" s="12">
        <f t="shared" si="6"/>
        <v>24700</v>
      </c>
      <c r="W11" s="10">
        <f t="shared" si="7"/>
        <v>154700</v>
      </c>
      <c r="X11" s="10" t="s">
        <v>44</v>
      </c>
      <c r="Y11" t="s">
        <v>75</v>
      </c>
      <c r="Z11" t="s">
        <v>78</v>
      </c>
      <c r="AA11" t="s">
        <v>68</v>
      </c>
      <c r="AB11" t="s">
        <v>47</v>
      </c>
      <c r="AC11">
        <v>252713239</v>
      </c>
      <c r="AD11" s="13">
        <v>46173</v>
      </c>
      <c r="AE11" s="14" t="s">
        <v>48</v>
      </c>
      <c r="AF11" s="13">
        <v>46188</v>
      </c>
      <c r="AG11">
        <v>20260504</v>
      </c>
      <c r="AH11">
        <v>0</v>
      </c>
      <c r="AI11" s="15">
        <f t="shared" si="8"/>
        <v>154700</v>
      </c>
      <c r="AJ11" t="s">
        <v>79</v>
      </c>
    </row>
    <row r="12" spans="1:36">
      <c r="A12" t="s">
        <v>82</v>
      </c>
      <c r="B12" t="s">
        <v>36</v>
      </c>
      <c r="C12" t="s">
        <v>82</v>
      </c>
      <c r="D12" t="s">
        <v>87</v>
      </c>
      <c r="E12" s="18" t="s">
        <v>38</v>
      </c>
      <c r="F12" s="18" t="s">
        <v>73</v>
      </c>
      <c r="G12" t="s">
        <v>88</v>
      </c>
      <c r="H12" t="s">
        <v>41</v>
      </c>
      <c r="I12" s="8">
        <v>13000</v>
      </c>
      <c r="J12" s="8">
        <v>10</v>
      </c>
      <c r="K12" s="8"/>
      <c r="L12" s="8">
        <f t="shared" si="0"/>
        <v>10</v>
      </c>
      <c r="M12" s="9">
        <f t="shared" si="1"/>
        <v>130000</v>
      </c>
      <c r="N12" t="s">
        <v>75</v>
      </c>
      <c r="O12" t="s">
        <v>76</v>
      </c>
      <c r="P12" t="s">
        <v>77</v>
      </c>
      <c r="Q12" t="str">
        <f t="shared" si="10"/>
        <v>NETO</v>
      </c>
      <c r="R12" t="str">
        <f t="shared" si="11"/>
        <v>IMPUESTO</v>
      </c>
      <c r="S12" t="str">
        <f t="shared" si="12"/>
        <v>TOTAL</v>
      </c>
      <c r="T12" s="10">
        <f t="shared" si="5"/>
        <v>130000</v>
      </c>
      <c r="U12" s="11">
        <f t="shared" si="9"/>
        <v>0.19</v>
      </c>
      <c r="V12" s="12">
        <f t="shared" si="6"/>
        <v>24700</v>
      </c>
      <c r="W12" s="10">
        <f t="shared" si="7"/>
        <v>154700</v>
      </c>
      <c r="X12" s="10" t="s">
        <v>44</v>
      </c>
      <c r="Y12" t="s">
        <v>75</v>
      </c>
      <c r="Z12" t="s">
        <v>78</v>
      </c>
      <c r="AA12" t="s">
        <v>68</v>
      </c>
      <c r="AB12" t="s">
        <v>47</v>
      </c>
      <c r="AC12">
        <v>252713239</v>
      </c>
      <c r="AD12" s="13">
        <v>46173</v>
      </c>
      <c r="AE12" s="14" t="s">
        <v>48</v>
      </c>
      <c r="AF12" s="13">
        <v>46188</v>
      </c>
      <c r="AG12">
        <v>20260504</v>
      </c>
      <c r="AH12">
        <v>0</v>
      </c>
      <c r="AI12" s="15">
        <f t="shared" si="8"/>
        <v>154700</v>
      </c>
      <c r="AJ12" t="s">
        <v>79</v>
      </c>
    </row>
    <row r="13" spans="1:36">
      <c r="A13" t="s">
        <v>89</v>
      </c>
      <c r="B13" t="s">
        <v>36</v>
      </c>
      <c r="C13" t="s">
        <v>89</v>
      </c>
      <c r="D13" t="s">
        <v>90</v>
      </c>
      <c r="E13" s="18" t="s">
        <v>38</v>
      </c>
      <c r="F13" s="18" t="s">
        <v>91</v>
      </c>
      <c r="G13" t="s">
        <v>92</v>
      </c>
      <c r="H13" t="s">
        <v>41</v>
      </c>
      <c r="I13" s="8">
        <v>63000</v>
      </c>
      <c r="J13" s="8">
        <v>10</v>
      </c>
      <c r="K13" s="8"/>
      <c r="L13" s="8">
        <f t="shared" si="0"/>
        <v>10</v>
      </c>
      <c r="M13" s="9">
        <f t="shared" si="1"/>
        <v>630000</v>
      </c>
      <c r="N13" t="s">
        <v>92</v>
      </c>
      <c r="O13" t="s">
        <v>93</v>
      </c>
      <c r="P13" t="s">
        <v>77</v>
      </c>
      <c r="Q13" t="str">
        <f t="shared" si="10"/>
        <v>NETO</v>
      </c>
      <c r="R13" t="str">
        <f t="shared" si="11"/>
        <v>IMPUESTO</v>
      </c>
      <c r="S13" t="str">
        <f t="shared" si="12"/>
        <v>TOTAL</v>
      </c>
      <c r="T13" s="10">
        <f t="shared" si="5"/>
        <v>630000</v>
      </c>
      <c r="U13" s="11">
        <f t="shared" si="9"/>
        <v>0.19</v>
      </c>
      <c r="V13" s="12">
        <f t="shared" si="6"/>
        <v>119700</v>
      </c>
      <c r="W13" s="10">
        <f t="shared" si="7"/>
        <v>749700</v>
      </c>
      <c r="X13" s="10" t="s">
        <v>44</v>
      </c>
      <c r="Y13" t="s">
        <v>92</v>
      </c>
      <c r="Z13" t="s">
        <v>94</v>
      </c>
      <c r="AA13" t="s">
        <v>68</v>
      </c>
      <c r="AB13" t="s">
        <v>47</v>
      </c>
      <c r="AC13">
        <v>118664957</v>
      </c>
      <c r="AD13" s="13">
        <v>46173</v>
      </c>
      <c r="AE13" s="14" t="s">
        <v>48</v>
      </c>
      <c r="AF13" s="13">
        <v>46188</v>
      </c>
      <c r="AG13">
        <v>20260505</v>
      </c>
      <c r="AH13">
        <v>0</v>
      </c>
      <c r="AI13" s="15">
        <f t="shared" si="8"/>
        <v>749700</v>
      </c>
      <c r="AJ13" t="s">
        <v>95</v>
      </c>
    </row>
    <row r="14" spans="1:36">
      <c r="A14" t="s">
        <v>35</v>
      </c>
      <c r="B14" t="s">
        <v>36</v>
      </c>
      <c r="C14" t="s">
        <v>35</v>
      </c>
      <c r="D14" t="s">
        <v>96</v>
      </c>
      <c r="E14" s="18" t="s">
        <v>97</v>
      </c>
      <c r="F14" s="18" t="s">
        <v>52</v>
      </c>
      <c r="G14" t="s">
        <v>98</v>
      </c>
      <c r="H14" t="s">
        <v>99</v>
      </c>
      <c r="I14" s="8">
        <v>50000</v>
      </c>
      <c r="J14" s="8">
        <v>1</v>
      </c>
      <c r="K14" s="8"/>
      <c r="L14" s="8">
        <f t="shared" si="0"/>
        <v>1</v>
      </c>
      <c r="M14" s="9">
        <f t="shared" si="1"/>
        <v>50000</v>
      </c>
      <c r="N14" t="s">
        <v>100</v>
      </c>
      <c r="O14" t="s">
        <v>101</v>
      </c>
      <c r="P14" t="s">
        <v>102</v>
      </c>
      <c r="S14" t="str">
        <f t="shared" si="12"/>
        <v>TOTAL</v>
      </c>
      <c r="T14" s="10">
        <f t="shared" si="5"/>
        <v>50000</v>
      </c>
      <c r="U14" s="11">
        <v>0</v>
      </c>
      <c r="V14" s="12">
        <f t="shared" si="6"/>
        <v>0</v>
      </c>
      <c r="W14" s="10">
        <f t="shared" si="7"/>
        <v>50000</v>
      </c>
      <c r="X14" s="10" t="s">
        <v>44</v>
      </c>
      <c r="Y14" t="s">
        <v>103</v>
      </c>
      <c r="Z14" t="s">
        <v>104</v>
      </c>
      <c r="AA14" t="s">
        <v>57</v>
      </c>
      <c r="AB14" t="s">
        <v>105</v>
      </c>
      <c r="AC14">
        <v>3090020404</v>
      </c>
      <c r="AD14" s="13">
        <v>46173</v>
      </c>
      <c r="AE14" s="14" t="s">
        <v>48</v>
      </c>
      <c r="AF14" s="13">
        <v>46188</v>
      </c>
      <c r="AG14">
        <v>20260506</v>
      </c>
      <c r="AH14">
        <v>0</v>
      </c>
      <c r="AI14" s="15">
        <f t="shared" si="8"/>
        <v>50000</v>
      </c>
      <c r="AJ14" t="s">
        <v>106</v>
      </c>
    </row>
    <row r="15" spans="1:36">
      <c r="A15" t="s">
        <v>35</v>
      </c>
      <c r="B15" t="s">
        <v>36</v>
      </c>
      <c r="C15" t="s">
        <v>35</v>
      </c>
      <c r="D15" t="s">
        <v>107</v>
      </c>
      <c r="E15" s="18" t="s">
        <v>38</v>
      </c>
      <c r="F15" s="18" t="s">
        <v>108</v>
      </c>
      <c r="G15" t="s">
        <v>109</v>
      </c>
      <c r="H15" t="s">
        <v>41</v>
      </c>
      <c r="I15" s="8">
        <v>37000</v>
      </c>
      <c r="J15" s="8">
        <v>10</v>
      </c>
      <c r="K15" s="8"/>
      <c r="L15" s="8">
        <f t="shared" si="0"/>
        <v>10</v>
      </c>
      <c r="M15" s="9">
        <f t="shared" si="1"/>
        <v>370000</v>
      </c>
      <c r="N15" t="s">
        <v>110</v>
      </c>
      <c r="O15" t="s">
        <v>111</v>
      </c>
      <c r="P15" t="s">
        <v>77</v>
      </c>
      <c r="Q15" t="str">
        <f t="shared" ref="Q15:Q65" si="13">+IF(P15="FACTURA","NETO",IF(P15="BOLETA","BRUTO","TOTAL"))</f>
        <v>NETO</v>
      </c>
      <c r="R15" t="str">
        <f t="shared" ref="R15:R65" si="14">+IF(Q15="BRUTO","RETENCION","IMPUESTO")</f>
        <v>IMPUESTO</v>
      </c>
      <c r="S15" t="str">
        <f t="shared" si="12"/>
        <v>TOTAL</v>
      </c>
      <c r="T15" s="10">
        <f t="shared" si="5"/>
        <v>370000</v>
      </c>
      <c r="U15" s="11">
        <f t="shared" ref="U15:U24" si="15">+IF(P15="TRATO",0,IF(P15="BOLETA",13%,19%))</f>
        <v>0.19</v>
      </c>
      <c r="V15" s="12">
        <f t="shared" si="6"/>
        <v>70300</v>
      </c>
      <c r="W15" s="10">
        <f t="shared" si="7"/>
        <v>440300</v>
      </c>
      <c r="X15" s="10" t="s">
        <v>44</v>
      </c>
      <c r="Y15" t="s">
        <v>112</v>
      </c>
      <c r="Z15" t="s">
        <v>113</v>
      </c>
      <c r="AA15" t="s">
        <v>114</v>
      </c>
      <c r="AB15" t="s">
        <v>47</v>
      </c>
      <c r="AC15">
        <v>4041817229</v>
      </c>
      <c r="AD15" s="13">
        <v>46173</v>
      </c>
      <c r="AE15" s="14" t="s">
        <v>48</v>
      </c>
      <c r="AF15" s="13">
        <v>46188</v>
      </c>
      <c r="AG15">
        <v>20260507</v>
      </c>
      <c r="AH15">
        <v>0</v>
      </c>
      <c r="AI15" s="15">
        <f t="shared" si="8"/>
        <v>440300</v>
      </c>
      <c r="AJ15" t="s">
        <v>115</v>
      </c>
    </row>
    <row r="16" spans="1:36">
      <c r="A16" t="s">
        <v>35</v>
      </c>
      <c r="B16" t="s">
        <v>36</v>
      </c>
      <c r="C16" t="s">
        <v>35</v>
      </c>
      <c r="D16" t="s">
        <v>116</v>
      </c>
      <c r="E16" s="18" t="s">
        <v>38</v>
      </c>
      <c r="F16" s="18" t="s">
        <v>117</v>
      </c>
      <c r="G16" t="s">
        <v>118</v>
      </c>
      <c r="H16" t="s">
        <v>41</v>
      </c>
      <c r="I16" s="8">
        <v>21000</v>
      </c>
      <c r="J16" s="8">
        <v>10</v>
      </c>
      <c r="K16" s="8"/>
      <c r="L16" s="8">
        <f t="shared" si="0"/>
        <v>10</v>
      </c>
      <c r="M16" s="9">
        <f t="shared" si="1"/>
        <v>210000</v>
      </c>
      <c r="N16" t="s">
        <v>118</v>
      </c>
      <c r="O16" t="s">
        <v>119</v>
      </c>
      <c r="P16" t="s">
        <v>77</v>
      </c>
      <c r="Q16" t="str">
        <f t="shared" si="13"/>
        <v>NETO</v>
      </c>
      <c r="R16" t="str">
        <f t="shared" si="14"/>
        <v>IMPUESTO</v>
      </c>
      <c r="S16" t="str">
        <f t="shared" si="12"/>
        <v>TOTAL</v>
      </c>
      <c r="T16" s="10">
        <f t="shared" si="5"/>
        <v>210000</v>
      </c>
      <c r="U16" s="11">
        <f t="shared" si="15"/>
        <v>0.19</v>
      </c>
      <c r="V16" s="12">
        <f t="shared" si="6"/>
        <v>39900</v>
      </c>
      <c r="W16" s="10">
        <f t="shared" si="7"/>
        <v>249900</v>
      </c>
      <c r="X16" s="10" t="s">
        <v>44</v>
      </c>
      <c r="Y16" t="s">
        <v>120</v>
      </c>
      <c r="Z16" t="s">
        <v>121</v>
      </c>
      <c r="AA16" t="s">
        <v>114</v>
      </c>
      <c r="AB16" t="s">
        <v>47</v>
      </c>
      <c r="AC16">
        <v>4043368555</v>
      </c>
      <c r="AD16" s="13">
        <v>46173</v>
      </c>
      <c r="AE16" s="14" t="s">
        <v>48</v>
      </c>
      <c r="AF16" s="13">
        <v>46188</v>
      </c>
      <c r="AG16">
        <v>20260508</v>
      </c>
      <c r="AH16">
        <v>0</v>
      </c>
      <c r="AI16" s="15">
        <f t="shared" si="8"/>
        <v>249900</v>
      </c>
      <c r="AJ16" t="s">
        <v>122</v>
      </c>
    </row>
    <row r="17" spans="1:36">
      <c r="A17" t="s">
        <v>35</v>
      </c>
      <c r="B17" t="s">
        <v>36</v>
      </c>
      <c r="C17" t="s">
        <v>35</v>
      </c>
      <c r="D17" t="s">
        <v>123</v>
      </c>
      <c r="E17" s="18" t="s">
        <v>38</v>
      </c>
      <c r="F17" s="18" t="s">
        <v>117</v>
      </c>
      <c r="G17" t="s">
        <v>118</v>
      </c>
      <c r="H17" t="s">
        <v>41</v>
      </c>
      <c r="I17" s="8">
        <v>16000</v>
      </c>
      <c r="J17" s="8">
        <v>10</v>
      </c>
      <c r="K17" s="8"/>
      <c r="L17" s="8">
        <f t="shared" si="0"/>
        <v>10</v>
      </c>
      <c r="M17" s="9">
        <f t="shared" si="1"/>
        <v>160000</v>
      </c>
      <c r="N17" t="s">
        <v>118</v>
      </c>
      <c r="O17" t="s">
        <v>119</v>
      </c>
      <c r="P17" t="s">
        <v>77</v>
      </c>
      <c r="Q17" t="str">
        <f t="shared" si="13"/>
        <v>NETO</v>
      </c>
      <c r="R17" t="str">
        <f t="shared" si="14"/>
        <v>IMPUESTO</v>
      </c>
      <c r="S17" t="str">
        <f t="shared" si="12"/>
        <v>TOTAL</v>
      </c>
      <c r="T17" s="10">
        <f t="shared" si="5"/>
        <v>160000</v>
      </c>
      <c r="U17" s="11">
        <f t="shared" si="15"/>
        <v>0.19</v>
      </c>
      <c r="V17" s="12">
        <f t="shared" si="6"/>
        <v>30400</v>
      </c>
      <c r="W17" s="10">
        <f t="shared" si="7"/>
        <v>190400</v>
      </c>
      <c r="X17" s="10" t="s">
        <v>44</v>
      </c>
      <c r="Y17" t="s">
        <v>120</v>
      </c>
      <c r="Z17" t="s">
        <v>121</v>
      </c>
      <c r="AA17" t="s">
        <v>114</v>
      </c>
      <c r="AB17" t="s">
        <v>47</v>
      </c>
      <c r="AC17">
        <v>4043368555</v>
      </c>
      <c r="AD17" s="13">
        <v>46173</v>
      </c>
      <c r="AE17" s="14" t="s">
        <v>48</v>
      </c>
      <c r="AF17" s="13">
        <v>46188</v>
      </c>
      <c r="AG17">
        <v>20260508</v>
      </c>
      <c r="AH17">
        <v>0</v>
      </c>
      <c r="AI17" s="15">
        <f t="shared" si="8"/>
        <v>190400</v>
      </c>
      <c r="AJ17" t="s">
        <v>122</v>
      </c>
    </row>
    <row r="18" spans="1:36">
      <c r="A18" t="s">
        <v>35</v>
      </c>
      <c r="B18" t="s">
        <v>36</v>
      </c>
      <c r="C18" t="s">
        <v>35</v>
      </c>
      <c r="D18" t="s">
        <v>124</v>
      </c>
      <c r="E18" s="18" t="s">
        <v>38</v>
      </c>
      <c r="F18" s="18" t="s">
        <v>117</v>
      </c>
      <c r="G18" t="s">
        <v>118</v>
      </c>
      <c r="H18" t="s">
        <v>41</v>
      </c>
      <c r="I18" s="8">
        <v>16000</v>
      </c>
      <c r="J18" s="8">
        <v>10</v>
      </c>
      <c r="K18" s="8"/>
      <c r="L18" s="8">
        <f t="shared" si="0"/>
        <v>10</v>
      </c>
      <c r="M18" s="9">
        <f t="shared" si="1"/>
        <v>160000</v>
      </c>
      <c r="N18" t="s">
        <v>118</v>
      </c>
      <c r="O18" t="s">
        <v>119</v>
      </c>
      <c r="P18" t="s">
        <v>77</v>
      </c>
      <c r="Q18" t="str">
        <f t="shared" si="13"/>
        <v>NETO</v>
      </c>
      <c r="R18" t="str">
        <f t="shared" si="14"/>
        <v>IMPUESTO</v>
      </c>
      <c r="S18" t="str">
        <f t="shared" si="12"/>
        <v>TOTAL</v>
      </c>
      <c r="T18" s="10">
        <f t="shared" si="5"/>
        <v>160000</v>
      </c>
      <c r="U18" s="11">
        <f t="shared" si="15"/>
        <v>0.19</v>
      </c>
      <c r="V18" s="12">
        <f t="shared" si="6"/>
        <v>30400</v>
      </c>
      <c r="W18" s="10">
        <f t="shared" si="7"/>
        <v>190400</v>
      </c>
      <c r="X18" s="10" t="s">
        <v>44</v>
      </c>
      <c r="Y18" t="s">
        <v>120</v>
      </c>
      <c r="Z18" t="s">
        <v>121</v>
      </c>
      <c r="AA18" t="s">
        <v>114</v>
      </c>
      <c r="AB18" t="s">
        <v>47</v>
      </c>
      <c r="AC18">
        <v>4043368555</v>
      </c>
      <c r="AD18" s="13">
        <v>46173</v>
      </c>
      <c r="AE18" s="14" t="s">
        <v>48</v>
      </c>
      <c r="AF18" s="13">
        <v>46188</v>
      </c>
      <c r="AG18">
        <v>20260508</v>
      </c>
      <c r="AH18">
        <v>0</v>
      </c>
      <c r="AI18" s="15">
        <f t="shared" si="8"/>
        <v>190400</v>
      </c>
      <c r="AJ18" t="s">
        <v>122</v>
      </c>
    </row>
    <row r="19" spans="1:36">
      <c r="A19" t="s">
        <v>35</v>
      </c>
      <c r="B19" t="s">
        <v>36</v>
      </c>
      <c r="C19" t="s">
        <v>35</v>
      </c>
      <c r="D19" t="s">
        <v>125</v>
      </c>
      <c r="E19" s="18" t="s">
        <v>38</v>
      </c>
      <c r="F19" s="18" t="s">
        <v>117</v>
      </c>
      <c r="G19" t="s">
        <v>118</v>
      </c>
      <c r="H19" t="s">
        <v>41</v>
      </c>
      <c r="I19" s="8">
        <v>16000</v>
      </c>
      <c r="J19" s="8">
        <v>10</v>
      </c>
      <c r="K19" s="8"/>
      <c r="L19" s="8">
        <f t="shared" si="0"/>
        <v>10</v>
      </c>
      <c r="M19" s="9">
        <f t="shared" si="1"/>
        <v>160000</v>
      </c>
      <c r="N19" t="s">
        <v>118</v>
      </c>
      <c r="O19" t="s">
        <v>119</v>
      </c>
      <c r="P19" t="s">
        <v>77</v>
      </c>
      <c r="Q19" t="str">
        <f t="shared" si="13"/>
        <v>NETO</v>
      </c>
      <c r="R19" t="str">
        <f t="shared" si="14"/>
        <v>IMPUESTO</v>
      </c>
      <c r="S19" t="str">
        <f t="shared" si="12"/>
        <v>TOTAL</v>
      </c>
      <c r="T19" s="10">
        <f t="shared" si="5"/>
        <v>160000</v>
      </c>
      <c r="U19" s="11">
        <f t="shared" si="15"/>
        <v>0.19</v>
      </c>
      <c r="V19" s="12">
        <f t="shared" si="6"/>
        <v>30400</v>
      </c>
      <c r="W19" s="10">
        <f t="shared" si="7"/>
        <v>190400</v>
      </c>
      <c r="X19" s="10" t="s">
        <v>44</v>
      </c>
      <c r="Y19" t="s">
        <v>120</v>
      </c>
      <c r="Z19" t="s">
        <v>121</v>
      </c>
      <c r="AA19" t="s">
        <v>114</v>
      </c>
      <c r="AB19" t="s">
        <v>47</v>
      </c>
      <c r="AC19">
        <v>4043368555</v>
      </c>
      <c r="AD19" s="13">
        <v>46173</v>
      </c>
      <c r="AE19" s="14" t="s">
        <v>48</v>
      </c>
      <c r="AF19" s="13">
        <v>46188</v>
      </c>
      <c r="AG19">
        <v>20260508</v>
      </c>
      <c r="AH19">
        <v>0</v>
      </c>
      <c r="AI19" s="15">
        <f t="shared" si="8"/>
        <v>190400</v>
      </c>
      <c r="AJ19" t="s">
        <v>122</v>
      </c>
    </row>
    <row r="20" spans="1:36">
      <c r="A20" t="s">
        <v>35</v>
      </c>
      <c r="B20" t="s">
        <v>36</v>
      </c>
      <c r="C20" t="s">
        <v>35</v>
      </c>
      <c r="D20" t="s">
        <v>126</v>
      </c>
      <c r="E20" s="18" t="s">
        <v>38</v>
      </c>
      <c r="F20" s="18" t="s">
        <v>117</v>
      </c>
      <c r="G20" t="s">
        <v>118</v>
      </c>
      <c r="H20" t="s">
        <v>41</v>
      </c>
      <c r="I20" s="8">
        <v>15000</v>
      </c>
      <c r="J20" s="8">
        <v>10</v>
      </c>
      <c r="K20" s="8"/>
      <c r="L20" s="8">
        <f t="shared" si="0"/>
        <v>10</v>
      </c>
      <c r="M20" s="9">
        <f t="shared" si="1"/>
        <v>150000</v>
      </c>
      <c r="N20" t="s">
        <v>118</v>
      </c>
      <c r="O20" t="s">
        <v>119</v>
      </c>
      <c r="P20" t="s">
        <v>77</v>
      </c>
      <c r="Q20" t="str">
        <f t="shared" si="13"/>
        <v>NETO</v>
      </c>
      <c r="R20" t="str">
        <f t="shared" si="14"/>
        <v>IMPUESTO</v>
      </c>
      <c r="S20" t="str">
        <f t="shared" si="12"/>
        <v>TOTAL</v>
      </c>
      <c r="T20" s="10">
        <f t="shared" si="5"/>
        <v>150000</v>
      </c>
      <c r="U20" s="11">
        <f t="shared" si="15"/>
        <v>0.19</v>
      </c>
      <c r="V20" s="12">
        <f t="shared" si="6"/>
        <v>28500</v>
      </c>
      <c r="W20" s="10">
        <f t="shared" si="7"/>
        <v>178500</v>
      </c>
      <c r="X20" s="10" t="s">
        <v>44</v>
      </c>
      <c r="Y20" t="s">
        <v>120</v>
      </c>
      <c r="Z20" t="s">
        <v>121</v>
      </c>
      <c r="AA20" t="s">
        <v>114</v>
      </c>
      <c r="AB20" t="s">
        <v>47</v>
      </c>
      <c r="AC20">
        <v>4043368555</v>
      </c>
      <c r="AD20" s="13">
        <v>46173</v>
      </c>
      <c r="AE20" s="14" t="s">
        <v>48</v>
      </c>
      <c r="AF20" s="13">
        <v>46188</v>
      </c>
      <c r="AG20">
        <v>20260508</v>
      </c>
      <c r="AH20">
        <v>0</v>
      </c>
      <c r="AI20" s="15">
        <f t="shared" si="8"/>
        <v>178500</v>
      </c>
      <c r="AJ20" t="s">
        <v>122</v>
      </c>
    </row>
    <row r="21" spans="1:36">
      <c r="A21" t="s">
        <v>35</v>
      </c>
      <c r="B21" t="s">
        <v>127</v>
      </c>
      <c r="C21" t="s">
        <v>35</v>
      </c>
      <c r="D21" t="s">
        <v>128</v>
      </c>
      <c r="E21" s="18" t="s">
        <v>38</v>
      </c>
      <c r="F21" s="18" t="s">
        <v>117</v>
      </c>
      <c r="G21" t="s">
        <v>118</v>
      </c>
      <c r="H21" t="s">
        <v>129</v>
      </c>
      <c r="I21" s="8">
        <v>25000</v>
      </c>
      <c r="J21" s="8">
        <v>10</v>
      </c>
      <c r="K21" s="8"/>
      <c r="L21" s="8">
        <f t="shared" si="0"/>
        <v>10</v>
      </c>
      <c r="M21" s="9">
        <f t="shared" si="1"/>
        <v>250000</v>
      </c>
      <c r="N21" t="s">
        <v>118</v>
      </c>
      <c r="O21" t="s">
        <v>119</v>
      </c>
      <c r="P21" t="s">
        <v>77</v>
      </c>
      <c r="Q21" t="str">
        <f t="shared" si="13"/>
        <v>NETO</v>
      </c>
      <c r="R21" t="str">
        <f t="shared" si="14"/>
        <v>IMPUESTO</v>
      </c>
      <c r="S21" t="str">
        <f t="shared" si="12"/>
        <v>TOTAL</v>
      </c>
      <c r="T21" s="10">
        <f t="shared" si="5"/>
        <v>250000</v>
      </c>
      <c r="U21" s="11">
        <f t="shared" si="15"/>
        <v>0.19</v>
      </c>
      <c r="V21" s="12">
        <f t="shared" si="6"/>
        <v>47500</v>
      </c>
      <c r="W21" s="10">
        <f t="shared" si="7"/>
        <v>297500</v>
      </c>
      <c r="X21" s="10" t="s">
        <v>44</v>
      </c>
      <c r="Y21" t="s">
        <v>120</v>
      </c>
      <c r="Z21" t="s">
        <v>121</v>
      </c>
      <c r="AA21" t="s">
        <v>114</v>
      </c>
      <c r="AB21" t="s">
        <v>47</v>
      </c>
      <c r="AC21">
        <v>4043368555</v>
      </c>
      <c r="AD21" s="13">
        <v>46173</v>
      </c>
      <c r="AE21" s="14" t="s">
        <v>48</v>
      </c>
      <c r="AF21" s="13">
        <v>46188</v>
      </c>
      <c r="AG21">
        <v>20260508</v>
      </c>
      <c r="AH21">
        <v>0</v>
      </c>
      <c r="AI21" s="15">
        <f t="shared" si="8"/>
        <v>297500</v>
      </c>
      <c r="AJ21" t="s">
        <v>122</v>
      </c>
    </row>
    <row r="22" spans="1:36">
      <c r="A22" t="s">
        <v>35</v>
      </c>
      <c r="B22" t="s">
        <v>130</v>
      </c>
      <c r="C22" t="s">
        <v>35</v>
      </c>
      <c r="D22" t="s">
        <v>130</v>
      </c>
      <c r="E22" s="18" t="s">
        <v>131</v>
      </c>
      <c r="F22" s="18" t="s">
        <v>117</v>
      </c>
      <c r="G22" t="s">
        <v>118</v>
      </c>
      <c r="H22" t="s">
        <v>130</v>
      </c>
      <c r="I22" s="8">
        <v>2500</v>
      </c>
      <c r="J22" s="8">
        <v>60</v>
      </c>
      <c r="K22" s="8"/>
      <c r="L22" s="8">
        <f t="shared" si="0"/>
        <v>60</v>
      </c>
      <c r="M22" s="9">
        <f t="shared" si="1"/>
        <v>150000</v>
      </c>
      <c r="N22" t="s">
        <v>118</v>
      </c>
      <c r="O22" t="s">
        <v>119</v>
      </c>
      <c r="P22" t="s">
        <v>77</v>
      </c>
      <c r="Q22" t="str">
        <f t="shared" si="13"/>
        <v>NETO</v>
      </c>
      <c r="R22" t="str">
        <f t="shared" si="14"/>
        <v>IMPUESTO</v>
      </c>
      <c r="S22" t="str">
        <f t="shared" si="12"/>
        <v>TOTAL</v>
      </c>
      <c r="T22" s="10">
        <f t="shared" si="5"/>
        <v>150000</v>
      </c>
      <c r="U22" s="11">
        <f t="shared" si="15"/>
        <v>0.19</v>
      </c>
      <c r="V22" s="12">
        <f t="shared" si="6"/>
        <v>28500</v>
      </c>
      <c r="W22" s="10">
        <f t="shared" si="7"/>
        <v>178500</v>
      </c>
      <c r="X22" s="10" t="s">
        <v>44</v>
      </c>
      <c r="Y22" t="s">
        <v>120</v>
      </c>
      <c r="Z22" t="s">
        <v>121</v>
      </c>
      <c r="AA22" t="s">
        <v>114</v>
      </c>
      <c r="AB22" t="s">
        <v>47</v>
      </c>
      <c r="AC22">
        <v>4043368555</v>
      </c>
      <c r="AD22" s="13">
        <v>46173</v>
      </c>
      <c r="AE22" s="14" t="s">
        <v>48</v>
      </c>
      <c r="AF22" s="13">
        <v>46188</v>
      </c>
      <c r="AG22">
        <v>20260508</v>
      </c>
      <c r="AH22">
        <v>0</v>
      </c>
      <c r="AI22" s="15">
        <f t="shared" si="8"/>
        <v>178500</v>
      </c>
      <c r="AJ22" t="s">
        <v>122</v>
      </c>
    </row>
    <row r="23" spans="1:36">
      <c r="A23" t="s">
        <v>35</v>
      </c>
      <c r="B23" t="s">
        <v>36</v>
      </c>
      <c r="C23" t="s">
        <v>35</v>
      </c>
      <c r="D23" t="s">
        <v>132</v>
      </c>
      <c r="E23" s="18" t="s">
        <v>38</v>
      </c>
      <c r="F23" s="18" t="s">
        <v>52</v>
      </c>
      <c r="G23" t="s">
        <v>133</v>
      </c>
      <c r="H23" t="s">
        <v>41</v>
      </c>
      <c r="I23" s="8">
        <v>22000</v>
      </c>
      <c r="J23" s="8">
        <v>10</v>
      </c>
      <c r="K23" s="8"/>
      <c r="L23" s="8">
        <f t="shared" si="0"/>
        <v>10</v>
      </c>
      <c r="M23" s="9">
        <f t="shared" si="1"/>
        <v>220000</v>
      </c>
      <c r="N23" t="s">
        <v>134</v>
      </c>
      <c r="O23" t="s">
        <v>135</v>
      </c>
      <c r="P23" t="s">
        <v>77</v>
      </c>
      <c r="Q23" t="str">
        <f t="shared" si="13"/>
        <v>NETO</v>
      </c>
      <c r="R23" t="str">
        <f t="shared" si="14"/>
        <v>IMPUESTO</v>
      </c>
      <c r="S23" t="str">
        <f t="shared" si="12"/>
        <v>TOTAL</v>
      </c>
      <c r="T23" s="10">
        <f t="shared" si="5"/>
        <v>220000</v>
      </c>
      <c r="U23" s="11">
        <f t="shared" si="15"/>
        <v>0.19</v>
      </c>
      <c r="V23" s="12">
        <f t="shared" si="6"/>
        <v>41800</v>
      </c>
      <c r="W23" s="10">
        <f t="shared" si="7"/>
        <v>261800</v>
      </c>
      <c r="X23" s="10" t="s">
        <v>44</v>
      </c>
      <c r="Y23" t="s">
        <v>136</v>
      </c>
      <c r="Z23" t="s">
        <v>137</v>
      </c>
      <c r="AA23" t="s">
        <v>138</v>
      </c>
      <c r="AB23" t="s">
        <v>105</v>
      </c>
      <c r="AC23">
        <v>70922179</v>
      </c>
      <c r="AD23" s="13">
        <v>46173</v>
      </c>
      <c r="AE23" s="14" t="s">
        <v>48</v>
      </c>
      <c r="AF23" s="13">
        <v>46188</v>
      </c>
      <c r="AG23">
        <v>20260509</v>
      </c>
      <c r="AH23">
        <v>0</v>
      </c>
      <c r="AI23" s="15">
        <f t="shared" si="8"/>
        <v>261800</v>
      </c>
      <c r="AJ23" t="s">
        <v>139</v>
      </c>
    </row>
    <row r="24" spans="1:36">
      <c r="A24" t="s">
        <v>35</v>
      </c>
      <c r="B24" t="s">
        <v>36</v>
      </c>
      <c r="C24" t="s">
        <v>35</v>
      </c>
      <c r="D24" t="s">
        <v>140</v>
      </c>
      <c r="E24" s="18" t="s">
        <v>97</v>
      </c>
      <c r="F24" s="18" t="s">
        <v>52</v>
      </c>
      <c r="G24" t="s">
        <v>133</v>
      </c>
      <c r="H24" t="s">
        <v>141</v>
      </c>
      <c r="I24" s="8">
        <v>65000</v>
      </c>
      <c r="J24" s="8">
        <v>1</v>
      </c>
      <c r="K24" s="8"/>
      <c r="L24" s="8">
        <f t="shared" si="0"/>
        <v>1</v>
      </c>
      <c r="M24" s="9">
        <f t="shared" si="1"/>
        <v>65000</v>
      </c>
      <c r="N24" t="s">
        <v>134</v>
      </c>
      <c r="O24" t="s">
        <v>135</v>
      </c>
      <c r="P24" t="s">
        <v>77</v>
      </c>
      <c r="Q24" t="str">
        <f t="shared" si="13"/>
        <v>NETO</v>
      </c>
      <c r="R24" t="str">
        <f t="shared" si="14"/>
        <v>IMPUESTO</v>
      </c>
      <c r="S24" t="str">
        <f t="shared" si="12"/>
        <v>TOTAL</v>
      </c>
      <c r="T24" s="10">
        <f t="shared" si="5"/>
        <v>65000</v>
      </c>
      <c r="U24" s="11">
        <f t="shared" si="15"/>
        <v>0.19</v>
      </c>
      <c r="V24" s="12">
        <f t="shared" si="6"/>
        <v>12350</v>
      </c>
      <c r="W24" s="10">
        <f t="shared" si="7"/>
        <v>77350</v>
      </c>
      <c r="X24" s="10" t="s">
        <v>44</v>
      </c>
      <c r="Y24" t="s">
        <v>136</v>
      </c>
      <c r="Z24" t="s">
        <v>137</v>
      </c>
      <c r="AA24" t="s">
        <v>138</v>
      </c>
      <c r="AB24" t="s">
        <v>105</v>
      </c>
      <c r="AC24">
        <v>70922179</v>
      </c>
      <c r="AD24" s="13">
        <v>46173</v>
      </c>
      <c r="AE24" s="14" t="s">
        <v>48</v>
      </c>
      <c r="AF24" s="13">
        <v>46188</v>
      </c>
      <c r="AG24">
        <v>20260509</v>
      </c>
      <c r="AH24">
        <v>0</v>
      </c>
      <c r="AI24" s="15">
        <f t="shared" si="8"/>
        <v>77350</v>
      </c>
      <c r="AJ24" t="s">
        <v>139</v>
      </c>
    </row>
    <row r="25" spans="1:36">
      <c r="A25" t="s">
        <v>61</v>
      </c>
      <c r="B25" t="s">
        <v>36</v>
      </c>
      <c r="C25" t="s">
        <v>61</v>
      </c>
      <c r="D25" t="s">
        <v>142</v>
      </c>
      <c r="E25" s="18" t="s">
        <v>38</v>
      </c>
      <c r="F25" s="18" t="s">
        <v>143</v>
      </c>
      <c r="G25" t="s">
        <v>144</v>
      </c>
      <c r="H25" t="s">
        <v>41</v>
      </c>
      <c r="I25" s="8">
        <v>25000</v>
      </c>
      <c r="J25" s="8">
        <v>10</v>
      </c>
      <c r="K25" s="8"/>
      <c r="L25" s="8">
        <f t="shared" si="0"/>
        <v>10</v>
      </c>
      <c r="M25" s="9">
        <f t="shared" si="1"/>
        <v>250000</v>
      </c>
      <c r="N25" t="s">
        <v>144</v>
      </c>
      <c r="O25" t="s">
        <v>145</v>
      </c>
      <c r="P25" t="s">
        <v>43</v>
      </c>
      <c r="Q25" t="str">
        <f t="shared" si="13"/>
        <v>BRUTO</v>
      </c>
      <c r="R25" t="str">
        <f t="shared" si="14"/>
        <v>RETENCION</v>
      </c>
      <c r="S25" t="str">
        <f t="shared" si="12"/>
        <v>LIQUIDO A PAGAR</v>
      </c>
      <c r="T25" s="10">
        <f t="shared" si="5"/>
        <v>250000</v>
      </c>
      <c r="U25" s="11">
        <v>0.1525</v>
      </c>
      <c r="V25" s="12">
        <f t="shared" si="6"/>
        <v>38125</v>
      </c>
      <c r="W25" s="10">
        <f t="shared" si="7"/>
        <v>211875</v>
      </c>
      <c r="X25" s="10" t="s">
        <v>44</v>
      </c>
      <c r="Y25" t="s">
        <v>144</v>
      </c>
      <c r="Z25" t="s">
        <v>146</v>
      </c>
      <c r="AA25" t="s">
        <v>68</v>
      </c>
      <c r="AB25" t="s">
        <v>47</v>
      </c>
      <c r="AC25">
        <v>9385475</v>
      </c>
      <c r="AD25" s="13">
        <v>46173</v>
      </c>
      <c r="AE25" s="14" t="s">
        <v>48</v>
      </c>
      <c r="AF25" s="13">
        <v>46188</v>
      </c>
      <c r="AG25">
        <v>20260510</v>
      </c>
      <c r="AH25">
        <v>0</v>
      </c>
      <c r="AI25" s="15">
        <f t="shared" si="8"/>
        <v>211875</v>
      </c>
      <c r="AJ25" t="s">
        <v>147</v>
      </c>
    </row>
    <row r="26" spans="1:36">
      <c r="A26" t="s">
        <v>61</v>
      </c>
      <c r="B26" t="s">
        <v>36</v>
      </c>
      <c r="C26" t="s">
        <v>61</v>
      </c>
      <c r="D26" t="s">
        <v>148</v>
      </c>
      <c r="E26" s="18" t="s">
        <v>38</v>
      </c>
      <c r="F26" s="18" t="s">
        <v>143</v>
      </c>
      <c r="G26" t="s">
        <v>144</v>
      </c>
      <c r="H26" t="s">
        <v>41</v>
      </c>
      <c r="I26" s="8">
        <v>21000</v>
      </c>
      <c r="J26" s="8">
        <v>10</v>
      </c>
      <c r="K26" s="8"/>
      <c r="L26" s="8">
        <f t="shared" si="0"/>
        <v>10</v>
      </c>
      <c r="M26" s="9">
        <f t="shared" si="1"/>
        <v>210000</v>
      </c>
      <c r="N26" t="s">
        <v>144</v>
      </c>
      <c r="O26" t="s">
        <v>145</v>
      </c>
      <c r="P26" t="s">
        <v>43</v>
      </c>
      <c r="Q26" t="str">
        <f t="shared" si="13"/>
        <v>BRUTO</v>
      </c>
      <c r="R26" t="str">
        <f t="shared" si="14"/>
        <v>RETENCION</v>
      </c>
      <c r="S26" t="str">
        <f t="shared" si="12"/>
        <v>LIQUIDO A PAGAR</v>
      </c>
      <c r="T26" s="10">
        <f t="shared" si="5"/>
        <v>210000</v>
      </c>
      <c r="U26" s="11">
        <v>0.1525</v>
      </c>
      <c r="V26" s="12">
        <f t="shared" si="6"/>
        <v>32025</v>
      </c>
      <c r="W26" s="10">
        <f t="shared" si="7"/>
        <v>177975</v>
      </c>
      <c r="X26" s="10" t="s">
        <v>44</v>
      </c>
      <c r="Y26" t="s">
        <v>144</v>
      </c>
      <c r="Z26" t="s">
        <v>146</v>
      </c>
      <c r="AA26" t="s">
        <v>68</v>
      </c>
      <c r="AB26" t="s">
        <v>47</v>
      </c>
      <c r="AC26">
        <v>9385475</v>
      </c>
      <c r="AD26" s="13">
        <v>46173</v>
      </c>
      <c r="AE26" s="14" t="s">
        <v>48</v>
      </c>
      <c r="AF26" s="13">
        <v>46188</v>
      </c>
      <c r="AG26">
        <v>20260510</v>
      </c>
      <c r="AH26">
        <v>0</v>
      </c>
      <c r="AI26" s="15">
        <f t="shared" si="8"/>
        <v>177975</v>
      </c>
      <c r="AJ26" t="s">
        <v>147</v>
      </c>
    </row>
    <row r="27" spans="1:36">
      <c r="A27" t="s">
        <v>61</v>
      </c>
      <c r="B27" t="s">
        <v>36</v>
      </c>
      <c r="C27" t="s">
        <v>61</v>
      </c>
      <c r="D27" t="s">
        <v>149</v>
      </c>
      <c r="E27" s="18" t="s">
        <v>38</v>
      </c>
      <c r="F27" s="18" t="s">
        <v>143</v>
      </c>
      <c r="G27" t="s">
        <v>144</v>
      </c>
      <c r="H27" t="s">
        <v>41</v>
      </c>
      <c r="I27" s="8">
        <v>28000</v>
      </c>
      <c r="J27" s="8">
        <v>10</v>
      </c>
      <c r="K27" s="8"/>
      <c r="L27" s="8">
        <f t="shared" si="0"/>
        <v>10</v>
      </c>
      <c r="M27" s="9">
        <f t="shared" si="1"/>
        <v>280000</v>
      </c>
      <c r="N27" t="s">
        <v>144</v>
      </c>
      <c r="O27" t="s">
        <v>145</v>
      </c>
      <c r="P27" t="s">
        <v>43</v>
      </c>
      <c r="Q27" t="str">
        <f t="shared" si="13"/>
        <v>BRUTO</v>
      </c>
      <c r="R27" t="str">
        <f t="shared" si="14"/>
        <v>RETENCION</v>
      </c>
      <c r="S27" t="str">
        <f t="shared" si="12"/>
        <v>LIQUIDO A PAGAR</v>
      </c>
      <c r="T27" s="10">
        <f t="shared" si="5"/>
        <v>280000</v>
      </c>
      <c r="U27" s="11">
        <v>0.1525</v>
      </c>
      <c r="V27" s="12">
        <f t="shared" si="6"/>
        <v>42700</v>
      </c>
      <c r="W27" s="10">
        <f t="shared" si="7"/>
        <v>237300</v>
      </c>
      <c r="X27" s="10" t="s">
        <v>44</v>
      </c>
      <c r="Y27" t="s">
        <v>144</v>
      </c>
      <c r="Z27" t="s">
        <v>146</v>
      </c>
      <c r="AA27" t="s">
        <v>68</v>
      </c>
      <c r="AB27" t="s">
        <v>47</v>
      </c>
      <c r="AC27">
        <v>9385475</v>
      </c>
      <c r="AD27" s="13">
        <v>46173</v>
      </c>
      <c r="AE27" s="14" t="s">
        <v>48</v>
      </c>
      <c r="AF27" s="13">
        <v>46188</v>
      </c>
      <c r="AG27">
        <v>20260510</v>
      </c>
      <c r="AH27">
        <v>0</v>
      </c>
      <c r="AI27" s="15">
        <f t="shared" si="8"/>
        <v>237300</v>
      </c>
      <c r="AJ27" t="s">
        <v>147</v>
      </c>
    </row>
    <row r="28" spans="1:36">
      <c r="A28" t="s">
        <v>61</v>
      </c>
      <c r="B28" t="s">
        <v>36</v>
      </c>
      <c r="C28" t="s">
        <v>61</v>
      </c>
      <c r="D28" t="s">
        <v>130</v>
      </c>
      <c r="E28" s="18" t="s">
        <v>131</v>
      </c>
      <c r="F28" s="18" t="s">
        <v>143</v>
      </c>
      <c r="G28" t="s">
        <v>144</v>
      </c>
      <c r="H28" t="s">
        <v>130</v>
      </c>
      <c r="I28" s="8">
        <v>2500</v>
      </c>
      <c r="J28" s="8">
        <v>10</v>
      </c>
      <c r="K28" s="8"/>
      <c r="L28" s="8">
        <f t="shared" si="0"/>
        <v>10</v>
      </c>
      <c r="M28" s="9">
        <f t="shared" si="1"/>
        <v>25000</v>
      </c>
      <c r="N28" t="s">
        <v>144</v>
      </c>
      <c r="O28" t="s">
        <v>145</v>
      </c>
      <c r="P28" t="s">
        <v>43</v>
      </c>
      <c r="Q28" t="str">
        <f t="shared" si="13"/>
        <v>BRUTO</v>
      </c>
      <c r="R28" t="str">
        <f t="shared" si="14"/>
        <v>RETENCION</v>
      </c>
      <c r="S28" t="str">
        <f t="shared" si="12"/>
        <v>LIQUIDO A PAGAR</v>
      </c>
      <c r="T28" s="10">
        <f t="shared" si="5"/>
        <v>25000</v>
      </c>
      <c r="U28" s="11">
        <v>0.1525</v>
      </c>
      <c r="V28" s="12">
        <f t="shared" si="6"/>
        <v>3812.5</v>
      </c>
      <c r="W28" s="10">
        <f t="shared" si="7"/>
        <v>21187</v>
      </c>
      <c r="X28" s="10" t="s">
        <v>44</v>
      </c>
      <c r="Y28" t="s">
        <v>144</v>
      </c>
      <c r="Z28" t="s">
        <v>146</v>
      </c>
      <c r="AA28" t="s">
        <v>68</v>
      </c>
      <c r="AB28" t="s">
        <v>47</v>
      </c>
      <c r="AC28">
        <v>9385475</v>
      </c>
      <c r="AD28" s="13">
        <v>46173</v>
      </c>
      <c r="AE28" s="14" t="s">
        <v>48</v>
      </c>
      <c r="AF28" s="13">
        <v>46188</v>
      </c>
      <c r="AG28">
        <v>20260510</v>
      </c>
      <c r="AH28">
        <v>0</v>
      </c>
      <c r="AI28" s="15">
        <f t="shared" si="8"/>
        <v>21187</v>
      </c>
      <c r="AJ28" t="s">
        <v>147</v>
      </c>
    </row>
    <row r="29" spans="1:36">
      <c r="A29" t="s">
        <v>50</v>
      </c>
      <c r="B29" t="s">
        <v>36</v>
      </c>
      <c r="C29" t="s">
        <v>50</v>
      </c>
      <c r="D29" t="s">
        <v>150</v>
      </c>
      <c r="E29" s="18" t="s">
        <v>38</v>
      </c>
      <c r="F29" s="18" t="s">
        <v>151</v>
      </c>
      <c r="G29" t="s">
        <v>152</v>
      </c>
      <c r="H29" t="s">
        <v>41</v>
      </c>
      <c r="I29" s="8">
        <v>45500</v>
      </c>
      <c r="J29" s="8">
        <v>10</v>
      </c>
      <c r="K29" s="8"/>
      <c r="L29" s="8">
        <f t="shared" si="0"/>
        <v>10</v>
      </c>
      <c r="M29" s="9">
        <f t="shared" si="1"/>
        <v>455000</v>
      </c>
      <c r="N29" t="s">
        <v>152</v>
      </c>
      <c r="O29" t="s">
        <v>153</v>
      </c>
      <c r="P29" t="s">
        <v>77</v>
      </c>
      <c r="Q29" t="str">
        <f t="shared" si="13"/>
        <v>NETO</v>
      </c>
      <c r="R29" t="str">
        <f t="shared" si="14"/>
        <v>IMPUESTO</v>
      </c>
      <c r="S29" t="str">
        <f t="shared" si="12"/>
        <v>TOTAL</v>
      </c>
      <c r="T29" s="10">
        <f t="shared" si="5"/>
        <v>455000</v>
      </c>
      <c r="U29" s="11">
        <f t="shared" ref="U29:U33" si="16">+IF(P29="TRATO",0,IF(P29="BOLETA",13%,19%))</f>
        <v>0.19</v>
      </c>
      <c r="V29" s="12">
        <f t="shared" si="6"/>
        <v>86450</v>
      </c>
      <c r="W29" s="10">
        <f t="shared" si="7"/>
        <v>541450</v>
      </c>
      <c r="X29" s="10" t="s">
        <v>44</v>
      </c>
      <c r="Y29" t="s">
        <v>152</v>
      </c>
      <c r="Z29" t="s">
        <v>154</v>
      </c>
      <c r="AA29" t="s">
        <v>68</v>
      </c>
      <c r="AB29" t="s">
        <v>47</v>
      </c>
      <c r="AC29">
        <v>124947618</v>
      </c>
      <c r="AD29" s="13">
        <v>46173</v>
      </c>
      <c r="AE29" s="14" t="s">
        <v>48</v>
      </c>
      <c r="AF29" s="13">
        <v>46188</v>
      </c>
      <c r="AG29">
        <v>20260511</v>
      </c>
      <c r="AH29">
        <v>0</v>
      </c>
      <c r="AI29" s="15">
        <f t="shared" si="8"/>
        <v>541450</v>
      </c>
      <c r="AJ29" t="s">
        <v>155</v>
      </c>
    </row>
    <row r="30" spans="1:36">
      <c r="A30" t="s">
        <v>89</v>
      </c>
      <c r="B30" t="s">
        <v>36</v>
      </c>
      <c r="C30" t="s">
        <v>89</v>
      </c>
      <c r="D30" t="s">
        <v>156</v>
      </c>
      <c r="E30" s="18" t="s">
        <v>38</v>
      </c>
      <c r="F30" s="18" t="s">
        <v>157</v>
      </c>
      <c r="G30" t="s">
        <v>158</v>
      </c>
      <c r="H30" t="s">
        <v>41</v>
      </c>
      <c r="I30" s="8">
        <v>48000</v>
      </c>
      <c r="J30" s="8">
        <v>10</v>
      </c>
      <c r="K30" s="8"/>
      <c r="L30" s="8">
        <f t="shared" si="0"/>
        <v>10</v>
      </c>
      <c r="M30" s="9">
        <f t="shared" si="1"/>
        <v>480000</v>
      </c>
      <c r="N30" t="s">
        <v>158</v>
      </c>
      <c r="O30" t="s">
        <v>159</v>
      </c>
      <c r="P30" t="s">
        <v>77</v>
      </c>
      <c r="Q30" t="str">
        <f t="shared" si="13"/>
        <v>NETO</v>
      </c>
      <c r="R30" t="str">
        <f t="shared" si="14"/>
        <v>IMPUESTO</v>
      </c>
      <c r="S30" t="str">
        <f t="shared" si="12"/>
        <v>TOTAL</v>
      </c>
      <c r="T30" s="10">
        <f t="shared" si="5"/>
        <v>480000</v>
      </c>
      <c r="U30" s="11">
        <f t="shared" si="16"/>
        <v>0.19</v>
      </c>
      <c r="V30" s="12">
        <f t="shared" si="6"/>
        <v>91200</v>
      </c>
      <c r="W30" s="10">
        <f t="shared" si="7"/>
        <v>571200</v>
      </c>
      <c r="X30" s="10" t="s">
        <v>44</v>
      </c>
      <c r="Y30" t="s">
        <v>158</v>
      </c>
      <c r="Z30" t="s">
        <v>160</v>
      </c>
      <c r="AA30" t="s">
        <v>68</v>
      </c>
      <c r="AB30" t="s">
        <v>47</v>
      </c>
      <c r="AC30">
        <v>16681299</v>
      </c>
      <c r="AD30" s="13">
        <v>46173</v>
      </c>
      <c r="AE30" s="14" t="s">
        <v>48</v>
      </c>
      <c r="AF30" s="13">
        <v>46188</v>
      </c>
      <c r="AG30">
        <v>20260512</v>
      </c>
      <c r="AH30">
        <v>0</v>
      </c>
      <c r="AI30" s="15">
        <f t="shared" si="8"/>
        <v>571200</v>
      </c>
      <c r="AJ30" t="s">
        <v>161</v>
      </c>
    </row>
    <row r="31" spans="1:36">
      <c r="A31" t="s">
        <v>89</v>
      </c>
      <c r="B31" t="s">
        <v>36</v>
      </c>
      <c r="C31" t="s">
        <v>89</v>
      </c>
      <c r="D31" t="s">
        <v>162</v>
      </c>
      <c r="E31" s="18" t="s">
        <v>38</v>
      </c>
      <c r="F31" s="18" t="s">
        <v>163</v>
      </c>
      <c r="G31" t="s">
        <v>164</v>
      </c>
      <c r="H31" t="s">
        <v>41</v>
      </c>
      <c r="I31" s="8">
        <v>60000</v>
      </c>
      <c r="J31" s="8">
        <v>10</v>
      </c>
      <c r="K31" s="8"/>
      <c r="L31" s="8">
        <f t="shared" si="0"/>
        <v>10</v>
      </c>
      <c r="M31" s="9">
        <f t="shared" si="1"/>
        <v>600000</v>
      </c>
      <c r="N31" t="s">
        <v>165</v>
      </c>
      <c r="O31" t="s">
        <v>166</v>
      </c>
      <c r="P31" t="s">
        <v>77</v>
      </c>
      <c r="Q31" t="str">
        <f t="shared" si="13"/>
        <v>NETO</v>
      </c>
      <c r="R31" t="str">
        <f t="shared" si="14"/>
        <v>IMPUESTO</v>
      </c>
      <c r="S31" t="str">
        <f t="shared" si="12"/>
        <v>TOTAL</v>
      </c>
      <c r="T31" s="10">
        <f t="shared" si="5"/>
        <v>600000</v>
      </c>
      <c r="U31" s="11">
        <f t="shared" si="16"/>
        <v>0.19</v>
      </c>
      <c r="V31" s="12">
        <f t="shared" si="6"/>
        <v>114000</v>
      </c>
      <c r="W31" s="10">
        <f t="shared" si="7"/>
        <v>714000</v>
      </c>
      <c r="X31" s="10" t="s">
        <v>44</v>
      </c>
      <c r="Y31" t="s">
        <v>165</v>
      </c>
      <c r="Z31" t="s">
        <v>167</v>
      </c>
      <c r="AA31" t="s">
        <v>68</v>
      </c>
      <c r="AB31" t="s">
        <v>47</v>
      </c>
      <c r="AC31">
        <v>200028260</v>
      </c>
      <c r="AD31" s="13">
        <v>46173</v>
      </c>
      <c r="AE31" s="14" t="s">
        <v>48</v>
      </c>
      <c r="AF31" s="13">
        <v>46188</v>
      </c>
      <c r="AG31">
        <v>20260513</v>
      </c>
      <c r="AH31">
        <v>0</v>
      </c>
      <c r="AI31" s="15">
        <f t="shared" si="8"/>
        <v>714000</v>
      </c>
      <c r="AJ31" t="s">
        <v>168</v>
      </c>
    </row>
    <row r="32" spans="1:36">
      <c r="A32" t="s">
        <v>89</v>
      </c>
      <c r="B32" t="s">
        <v>36</v>
      </c>
      <c r="C32" t="s">
        <v>89</v>
      </c>
      <c r="D32" t="s">
        <v>169</v>
      </c>
      <c r="E32" s="18" t="s">
        <v>38</v>
      </c>
      <c r="F32" s="18" t="s">
        <v>163</v>
      </c>
      <c r="G32" t="s">
        <v>170</v>
      </c>
      <c r="H32" t="s">
        <v>171</v>
      </c>
      <c r="I32" s="8">
        <v>35000</v>
      </c>
      <c r="J32" s="8">
        <v>10</v>
      </c>
      <c r="K32" s="8">
        <v>0</v>
      </c>
      <c r="L32" s="8">
        <f t="shared" si="0"/>
        <v>10</v>
      </c>
      <c r="M32" s="9">
        <f t="shared" si="1"/>
        <v>350000</v>
      </c>
      <c r="N32" t="s">
        <v>165</v>
      </c>
      <c r="O32" t="s">
        <v>166</v>
      </c>
      <c r="P32" t="s">
        <v>77</v>
      </c>
      <c r="Q32" t="str">
        <f t="shared" si="13"/>
        <v>NETO</v>
      </c>
      <c r="R32" t="str">
        <f t="shared" si="14"/>
        <v>IMPUESTO</v>
      </c>
      <c r="S32" t="str">
        <f t="shared" si="12"/>
        <v>TOTAL</v>
      </c>
      <c r="T32" s="10">
        <f t="shared" si="5"/>
        <v>350000</v>
      </c>
      <c r="U32" s="11">
        <f t="shared" si="16"/>
        <v>0.19</v>
      </c>
      <c r="V32" s="12">
        <f t="shared" si="6"/>
        <v>66500</v>
      </c>
      <c r="W32" s="10">
        <f t="shared" si="7"/>
        <v>416500</v>
      </c>
      <c r="X32" s="10" t="s">
        <v>44</v>
      </c>
      <c r="Y32" t="s">
        <v>165</v>
      </c>
      <c r="Z32" t="s">
        <v>167</v>
      </c>
      <c r="AA32" t="s">
        <v>68</v>
      </c>
      <c r="AB32" t="s">
        <v>47</v>
      </c>
      <c r="AC32">
        <v>200028260</v>
      </c>
      <c r="AD32" s="13">
        <v>46173</v>
      </c>
      <c r="AE32" s="14" t="s">
        <v>48</v>
      </c>
      <c r="AF32" s="13">
        <v>46188</v>
      </c>
      <c r="AG32">
        <v>20260513</v>
      </c>
      <c r="AH32">
        <v>0</v>
      </c>
      <c r="AI32" s="15">
        <f t="shared" si="8"/>
        <v>416500</v>
      </c>
      <c r="AJ32" t="s">
        <v>168</v>
      </c>
    </row>
    <row r="33" spans="1:36">
      <c r="A33" t="s">
        <v>89</v>
      </c>
      <c r="B33" t="s">
        <v>36</v>
      </c>
      <c r="C33" t="s">
        <v>89</v>
      </c>
      <c r="D33" t="s">
        <v>172</v>
      </c>
      <c r="E33" s="18" t="s">
        <v>38</v>
      </c>
      <c r="F33" s="18" t="s">
        <v>163</v>
      </c>
      <c r="G33" t="s">
        <v>165</v>
      </c>
      <c r="H33" t="s">
        <v>41</v>
      </c>
      <c r="I33" s="8">
        <v>23000</v>
      </c>
      <c r="J33" s="8">
        <v>10</v>
      </c>
      <c r="K33" s="8"/>
      <c r="L33" s="8">
        <f t="shared" si="0"/>
        <v>10</v>
      </c>
      <c r="M33" s="9">
        <f t="shared" si="1"/>
        <v>230000</v>
      </c>
      <c r="N33" t="s">
        <v>165</v>
      </c>
      <c r="O33" t="s">
        <v>166</v>
      </c>
      <c r="P33" t="s">
        <v>77</v>
      </c>
      <c r="Q33" t="str">
        <f t="shared" si="13"/>
        <v>NETO</v>
      </c>
      <c r="R33" t="str">
        <f t="shared" si="14"/>
        <v>IMPUESTO</v>
      </c>
      <c r="S33" t="str">
        <f t="shared" si="12"/>
        <v>TOTAL</v>
      </c>
      <c r="T33" s="10">
        <f t="shared" si="5"/>
        <v>230000</v>
      </c>
      <c r="U33" s="11">
        <f t="shared" si="16"/>
        <v>0.19</v>
      </c>
      <c r="V33" s="12">
        <f t="shared" si="6"/>
        <v>43700</v>
      </c>
      <c r="W33" s="10">
        <f t="shared" si="7"/>
        <v>273700</v>
      </c>
      <c r="X33" s="10" t="s">
        <v>44</v>
      </c>
      <c r="Y33" t="s">
        <v>165</v>
      </c>
      <c r="Z33" t="s">
        <v>167</v>
      </c>
      <c r="AA33" t="s">
        <v>68</v>
      </c>
      <c r="AB33" t="s">
        <v>47</v>
      </c>
      <c r="AC33">
        <v>200028260</v>
      </c>
      <c r="AD33" s="13">
        <v>46173</v>
      </c>
      <c r="AE33" s="14" t="s">
        <v>48</v>
      </c>
      <c r="AF33" s="13">
        <v>46188</v>
      </c>
      <c r="AG33">
        <v>20260513</v>
      </c>
      <c r="AH33">
        <v>0</v>
      </c>
      <c r="AI33" s="15">
        <f t="shared" si="8"/>
        <v>273700</v>
      </c>
      <c r="AJ33" t="s">
        <v>168</v>
      </c>
    </row>
    <row r="34" spans="1:36">
      <c r="A34" t="s">
        <v>61</v>
      </c>
      <c r="B34" t="s">
        <v>36</v>
      </c>
      <c r="C34" t="s">
        <v>61</v>
      </c>
      <c r="D34" t="s">
        <v>173</v>
      </c>
      <c r="E34" s="18" t="s">
        <v>38</v>
      </c>
      <c r="F34" s="18" t="s">
        <v>174</v>
      </c>
      <c r="G34" t="s">
        <v>175</v>
      </c>
      <c r="H34" t="s">
        <v>176</v>
      </c>
      <c r="I34" s="8">
        <v>30000</v>
      </c>
      <c r="J34" s="8">
        <v>10</v>
      </c>
      <c r="K34" s="8"/>
      <c r="L34" s="8">
        <f t="shared" si="0"/>
        <v>10</v>
      </c>
      <c r="M34" s="9">
        <f t="shared" si="1"/>
        <v>300000</v>
      </c>
      <c r="N34" t="s">
        <v>175</v>
      </c>
      <c r="O34" t="s">
        <v>177</v>
      </c>
      <c r="P34" t="s">
        <v>43</v>
      </c>
      <c r="Q34" t="str">
        <f t="shared" si="13"/>
        <v>BRUTO</v>
      </c>
      <c r="R34" t="str">
        <f t="shared" si="14"/>
        <v>RETENCION</v>
      </c>
      <c r="S34" t="str">
        <f t="shared" si="12"/>
        <v>LIQUIDO A PAGAR</v>
      </c>
      <c r="T34" s="10">
        <f t="shared" si="5"/>
        <v>300000</v>
      </c>
      <c r="U34" s="11">
        <v>0.1525</v>
      </c>
      <c r="V34" s="12">
        <f t="shared" si="6"/>
        <v>45750</v>
      </c>
      <c r="W34" s="10">
        <f t="shared" si="7"/>
        <v>254250</v>
      </c>
      <c r="X34" s="10" t="s">
        <v>44</v>
      </c>
      <c r="Y34" t="s">
        <v>175</v>
      </c>
      <c r="Z34" t="s">
        <v>178</v>
      </c>
      <c r="AA34" t="s">
        <v>138</v>
      </c>
      <c r="AB34" t="s">
        <v>47</v>
      </c>
      <c r="AC34">
        <v>16365399</v>
      </c>
      <c r="AD34" s="13">
        <v>46173</v>
      </c>
      <c r="AE34" s="14" t="s">
        <v>48</v>
      </c>
      <c r="AF34" s="13">
        <v>46188</v>
      </c>
      <c r="AG34">
        <v>20260514</v>
      </c>
      <c r="AH34">
        <v>0</v>
      </c>
      <c r="AI34" s="15">
        <f t="shared" ref="AI34:AI65" si="17">+W34-AH34</f>
        <v>254250</v>
      </c>
      <c r="AJ34" t="s">
        <v>179</v>
      </c>
    </row>
    <row r="35" spans="1:36">
      <c r="A35" t="s">
        <v>61</v>
      </c>
      <c r="B35" t="s">
        <v>36</v>
      </c>
      <c r="C35" t="s">
        <v>61</v>
      </c>
      <c r="D35" t="s">
        <v>180</v>
      </c>
      <c r="E35" s="18" t="s">
        <v>38</v>
      </c>
      <c r="F35" s="18" t="s">
        <v>174</v>
      </c>
      <c r="G35" t="s">
        <v>175</v>
      </c>
      <c r="H35" t="s">
        <v>41</v>
      </c>
      <c r="I35" s="8">
        <v>25000</v>
      </c>
      <c r="J35" s="8">
        <v>10</v>
      </c>
      <c r="K35" s="8"/>
      <c r="L35" s="8">
        <f t="shared" si="0"/>
        <v>10</v>
      </c>
      <c r="M35" s="9">
        <f t="shared" si="1"/>
        <v>250000</v>
      </c>
      <c r="N35" t="s">
        <v>175</v>
      </c>
      <c r="O35" t="s">
        <v>177</v>
      </c>
      <c r="P35" t="s">
        <v>43</v>
      </c>
      <c r="Q35" t="str">
        <f t="shared" si="13"/>
        <v>BRUTO</v>
      </c>
      <c r="R35" t="str">
        <f t="shared" si="14"/>
        <v>RETENCION</v>
      </c>
      <c r="S35" t="str">
        <f t="shared" si="12"/>
        <v>LIQUIDO A PAGAR</v>
      </c>
      <c r="T35" s="10">
        <f t="shared" si="5"/>
        <v>250000</v>
      </c>
      <c r="U35" s="11">
        <v>0.1525</v>
      </c>
      <c r="V35" s="12">
        <f t="shared" si="6"/>
        <v>38125</v>
      </c>
      <c r="W35" s="10">
        <f t="shared" si="7"/>
        <v>211875</v>
      </c>
      <c r="X35" s="10" t="s">
        <v>44</v>
      </c>
      <c r="Y35" t="s">
        <v>175</v>
      </c>
      <c r="Z35" t="s">
        <v>178</v>
      </c>
      <c r="AA35" t="s">
        <v>138</v>
      </c>
      <c r="AB35" t="s">
        <v>47</v>
      </c>
      <c r="AC35">
        <v>16365399</v>
      </c>
      <c r="AD35" s="13">
        <v>46173</v>
      </c>
      <c r="AE35" s="14" t="s">
        <v>48</v>
      </c>
      <c r="AF35" s="13">
        <v>46188</v>
      </c>
      <c r="AG35">
        <v>20260514</v>
      </c>
      <c r="AH35">
        <v>0</v>
      </c>
      <c r="AI35" s="15">
        <f t="shared" si="17"/>
        <v>211875</v>
      </c>
      <c r="AJ35" t="s">
        <v>179</v>
      </c>
    </row>
    <row r="36" spans="1:36">
      <c r="A36" t="s">
        <v>61</v>
      </c>
      <c r="B36" t="s">
        <v>36</v>
      </c>
      <c r="C36" t="s">
        <v>61</v>
      </c>
      <c r="D36" t="s">
        <v>181</v>
      </c>
      <c r="E36" s="18" t="s">
        <v>38</v>
      </c>
      <c r="F36" s="18" t="s">
        <v>174</v>
      </c>
      <c r="G36" t="s">
        <v>175</v>
      </c>
      <c r="H36" t="s">
        <v>41</v>
      </c>
      <c r="I36" s="8">
        <v>25000</v>
      </c>
      <c r="J36" s="8">
        <v>10</v>
      </c>
      <c r="K36" s="8"/>
      <c r="L36" s="8">
        <f t="shared" si="0"/>
        <v>10</v>
      </c>
      <c r="M36" s="9">
        <f t="shared" si="1"/>
        <v>250000</v>
      </c>
      <c r="N36" t="s">
        <v>175</v>
      </c>
      <c r="O36" t="s">
        <v>177</v>
      </c>
      <c r="P36" t="s">
        <v>43</v>
      </c>
      <c r="Q36" t="str">
        <f t="shared" si="13"/>
        <v>BRUTO</v>
      </c>
      <c r="R36" t="str">
        <f t="shared" si="14"/>
        <v>RETENCION</v>
      </c>
      <c r="S36" t="str">
        <f t="shared" si="12"/>
        <v>LIQUIDO A PAGAR</v>
      </c>
      <c r="T36" s="10">
        <f t="shared" si="5"/>
        <v>250000</v>
      </c>
      <c r="U36" s="11">
        <v>0.1525</v>
      </c>
      <c r="V36" s="12">
        <f t="shared" si="6"/>
        <v>38125</v>
      </c>
      <c r="W36" s="10">
        <f t="shared" si="7"/>
        <v>211875</v>
      </c>
      <c r="X36" s="10" t="s">
        <v>44</v>
      </c>
      <c r="Y36" t="s">
        <v>175</v>
      </c>
      <c r="Z36" t="s">
        <v>178</v>
      </c>
      <c r="AA36" t="s">
        <v>138</v>
      </c>
      <c r="AB36" t="s">
        <v>47</v>
      </c>
      <c r="AC36">
        <v>16365399</v>
      </c>
      <c r="AD36" s="13">
        <v>46173</v>
      </c>
      <c r="AE36" s="14" t="s">
        <v>48</v>
      </c>
      <c r="AF36" s="13">
        <v>46188</v>
      </c>
      <c r="AG36">
        <v>20260514</v>
      </c>
      <c r="AH36">
        <v>0</v>
      </c>
      <c r="AI36" s="15">
        <f t="shared" si="17"/>
        <v>211875</v>
      </c>
      <c r="AJ36" t="s">
        <v>179</v>
      </c>
    </row>
    <row r="37" spans="1:36">
      <c r="A37" t="s">
        <v>71</v>
      </c>
      <c r="B37" t="s">
        <v>36</v>
      </c>
      <c r="C37" t="s">
        <v>71</v>
      </c>
      <c r="D37" t="s">
        <v>182</v>
      </c>
      <c r="E37" s="18" t="s">
        <v>38</v>
      </c>
      <c r="F37" s="18" t="s">
        <v>183</v>
      </c>
      <c r="G37" t="s">
        <v>184</v>
      </c>
      <c r="H37" t="s">
        <v>41</v>
      </c>
      <c r="I37" s="8">
        <v>12000</v>
      </c>
      <c r="J37" s="8">
        <v>10</v>
      </c>
      <c r="K37" s="8"/>
      <c r="L37" s="8">
        <f t="shared" si="0"/>
        <v>10</v>
      </c>
      <c r="M37" s="9">
        <f t="shared" si="1"/>
        <v>120000</v>
      </c>
      <c r="N37" t="s">
        <v>184</v>
      </c>
      <c r="O37" t="s">
        <v>185</v>
      </c>
      <c r="P37" t="s">
        <v>43</v>
      </c>
      <c r="Q37" t="str">
        <f t="shared" si="13"/>
        <v>BRUTO</v>
      </c>
      <c r="R37" t="str">
        <f t="shared" si="14"/>
        <v>RETENCION</v>
      </c>
      <c r="S37" t="str">
        <f t="shared" si="12"/>
        <v>LIQUIDO A PAGAR</v>
      </c>
      <c r="T37" s="10">
        <f t="shared" si="5"/>
        <v>120000</v>
      </c>
      <c r="U37" s="11">
        <v>0.1525</v>
      </c>
      <c r="V37" s="12">
        <f t="shared" si="6"/>
        <v>18300</v>
      </c>
      <c r="W37" s="10">
        <f t="shared" si="7"/>
        <v>101700</v>
      </c>
      <c r="X37" s="10" t="s">
        <v>44</v>
      </c>
      <c r="Y37" t="s">
        <v>184</v>
      </c>
      <c r="Z37" t="s">
        <v>186</v>
      </c>
      <c r="AA37" t="s">
        <v>68</v>
      </c>
      <c r="AB37" t="s">
        <v>47</v>
      </c>
      <c r="AC37">
        <v>14709280</v>
      </c>
      <c r="AD37" s="13">
        <v>46173</v>
      </c>
      <c r="AE37" s="14" t="s">
        <v>48</v>
      </c>
      <c r="AF37" s="13">
        <v>46188</v>
      </c>
      <c r="AG37">
        <v>20260515</v>
      </c>
      <c r="AH37">
        <v>0</v>
      </c>
      <c r="AI37" s="15">
        <f t="shared" si="17"/>
        <v>101700</v>
      </c>
      <c r="AJ37" t="s">
        <v>187</v>
      </c>
    </row>
    <row r="38" spans="1:36">
      <c r="A38" t="s">
        <v>71</v>
      </c>
      <c r="B38" t="s">
        <v>36</v>
      </c>
      <c r="C38" t="s">
        <v>71</v>
      </c>
      <c r="D38" t="s">
        <v>188</v>
      </c>
      <c r="E38" s="18" t="s">
        <v>38</v>
      </c>
      <c r="F38" s="18" t="s">
        <v>183</v>
      </c>
      <c r="G38" t="s">
        <v>184</v>
      </c>
      <c r="H38" t="s">
        <v>41</v>
      </c>
      <c r="I38" s="8">
        <v>25000</v>
      </c>
      <c r="J38" s="8">
        <v>10</v>
      </c>
      <c r="K38" s="8"/>
      <c r="L38" s="8">
        <f t="shared" si="0"/>
        <v>10</v>
      </c>
      <c r="M38" s="9">
        <f t="shared" si="1"/>
        <v>250000</v>
      </c>
      <c r="N38" t="s">
        <v>184</v>
      </c>
      <c r="O38" t="s">
        <v>185</v>
      </c>
      <c r="P38" t="s">
        <v>43</v>
      </c>
      <c r="Q38" t="str">
        <f t="shared" si="13"/>
        <v>BRUTO</v>
      </c>
      <c r="R38" t="str">
        <f t="shared" si="14"/>
        <v>RETENCION</v>
      </c>
      <c r="S38" t="str">
        <f t="shared" si="12"/>
        <v>LIQUIDO A PAGAR</v>
      </c>
      <c r="T38" s="10">
        <f t="shared" si="5"/>
        <v>250000</v>
      </c>
      <c r="U38" s="11">
        <v>0.1525</v>
      </c>
      <c r="V38" s="12">
        <f t="shared" si="6"/>
        <v>38125</v>
      </c>
      <c r="W38" s="10">
        <f t="shared" si="7"/>
        <v>211875</v>
      </c>
      <c r="X38" s="10" t="s">
        <v>44</v>
      </c>
      <c r="Y38" t="s">
        <v>184</v>
      </c>
      <c r="Z38" t="s">
        <v>186</v>
      </c>
      <c r="AA38" t="s">
        <v>68</v>
      </c>
      <c r="AB38" t="s">
        <v>47</v>
      </c>
      <c r="AC38">
        <v>14709280</v>
      </c>
      <c r="AD38" s="13">
        <v>46173</v>
      </c>
      <c r="AE38" s="14" t="s">
        <v>48</v>
      </c>
      <c r="AF38" s="13">
        <v>46188</v>
      </c>
      <c r="AG38">
        <v>20260515</v>
      </c>
      <c r="AH38">
        <v>0</v>
      </c>
      <c r="AI38" s="15">
        <f t="shared" si="17"/>
        <v>211875</v>
      </c>
      <c r="AJ38" t="s">
        <v>187</v>
      </c>
    </row>
    <row r="39" spans="1:36">
      <c r="A39" t="s">
        <v>71</v>
      </c>
      <c r="B39" t="s">
        <v>130</v>
      </c>
      <c r="C39" t="s">
        <v>71</v>
      </c>
      <c r="D39" t="s">
        <v>189</v>
      </c>
      <c r="E39" s="18" t="s">
        <v>131</v>
      </c>
      <c r="F39" s="18" t="s">
        <v>183</v>
      </c>
      <c r="G39" t="s">
        <v>184</v>
      </c>
      <c r="H39" t="s">
        <v>130</v>
      </c>
      <c r="I39" s="8">
        <v>2500</v>
      </c>
      <c r="J39" s="8">
        <v>10</v>
      </c>
      <c r="K39" s="8"/>
      <c r="L39" s="8">
        <f t="shared" si="0"/>
        <v>10</v>
      </c>
      <c r="M39" s="9">
        <f t="shared" si="1"/>
        <v>25000</v>
      </c>
      <c r="N39" t="s">
        <v>184</v>
      </c>
      <c r="O39" t="s">
        <v>185</v>
      </c>
      <c r="P39" t="s">
        <v>43</v>
      </c>
      <c r="Q39" t="str">
        <f t="shared" si="13"/>
        <v>BRUTO</v>
      </c>
      <c r="R39" t="str">
        <f t="shared" si="14"/>
        <v>RETENCION</v>
      </c>
      <c r="S39" t="str">
        <f t="shared" si="12"/>
        <v>LIQUIDO A PAGAR</v>
      </c>
      <c r="T39" s="10">
        <f t="shared" si="5"/>
        <v>25000</v>
      </c>
      <c r="U39" s="11">
        <v>0.1525</v>
      </c>
      <c r="V39" s="12">
        <f t="shared" si="6"/>
        <v>3812.5</v>
      </c>
      <c r="W39" s="10">
        <f t="shared" si="7"/>
        <v>21187</v>
      </c>
      <c r="X39" s="10" t="s">
        <v>44</v>
      </c>
      <c r="Y39" t="s">
        <v>184</v>
      </c>
      <c r="Z39" t="s">
        <v>186</v>
      </c>
      <c r="AA39" t="s">
        <v>68</v>
      </c>
      <c r="AB39" t="s">
        <v>47</v>
      </c>
      <c r="AC39">
        <v>14709280</v>
      </c>
      <c r="AD39" s="13">
        <v>46173</v>
      </c>
      <c r="AE39" s="14" t="s">
        <v>48</v>
      </c>
      <c r="AF39" s="13">
        <v>46188</v>
      </c>
      <c r="AG39">
        <v>20260515</v>
      </c>
      <c r="AH39">
        <v>0</v>
      </c>
      <c r="AI39" s="15">
        <f t="shared" si="17"/>
        <v>21187</v>
      </c>
      <c r="AJ39" t="s">
        <v>187</v>
      </c>
    </row>
    <row r="40" spans="1:36">
      <c r="A40" t="s">
        <v>82</v>
      </c>
      <c r="B40" t="s">
        <v>36</v>
      </c>
      <c r="C40" t="s">
        <v>82</v>
      </c>
      <c r="D40" t="s">
        <v>190</v>
      </c>
      <c r="E40" s="18" t="s">
        <v>38</v>
      </c>
      <c r="F40" s="18" t="s">
        <v>183</v>
      </c>
      <c r="G40" t="s">
        <v>184</v>
      </c>
      <c r="H40" t="s">
        <v>41</v>
      </c>
      <c r="I40" s="8">
        <v>15000</v>
      </c>
      <c r="J40" s="8">
        <v>10</v>
      </c>
      <c r="K40" s="8"/>
      <c r="L40" s="8">
        <f t="shared" si="0"/>
        <v>10</v>
      </c>
      <c r="M40" s="9">
        <f t="shared" si="1"/>
        <v>150000</v>
      </c>
      <c r="N40" t="s">
        <v>184</v>
      </c>
      <c r="O40" t="s">
        <v>185</v>
      </c>
      <c r="P40" t="s">
        <v>43</v>
      </c>
      <c r="Q40" t="str">
        <f t="shared" si="13"/>
        <v>BRUTO</v>
      </c>
      <c r="R40" t="str">
        <f t="shared" si="14"/>
        <v>RETENCION</v>
      </c>
      <c r="S40" t="str">
        <f t="shared" si="12"/>
        <v>LIQUIDO A PAGAR</v>
      </c>
      <c r="T40" s="10">
        <f t="shared" si="5"/>
        <v>150000</v>
      </c>
      <c r="U40" s="11">
        <v>0.1525</v>
      </c>
      <c r="V40" s="12">
        <f t="shared" si="6"/>
        <v>22875</v>
      </c>
      <c r="W40" s="10">
        <f t="shared" si="7"/>
        <v>127125</v>
      </c>
      <c r="X40" s="10" t="s">
        <v>44</v>
      </c>
      <c r="Y40" t="s">
        <v>184</v>
      </c>
      <c r="Z40" t="s">
        <v>186</v>
      </c>
      <c r="AA40" t="s">
        <v>68</v>
      </c>
      <c r="AB40" t="s">
        <v>47</v>
      </c>
      <c r="AC40">
        <v>14709280</v>
      </c>
      <c r="AD40" s="13">
        <v>46173</v>
      </c>
      <c r="AE40" s="14" t="s">
        <v>48</v>
      </c>
      <c r="AF40" s="13">
        <v>46188</v>
      </c>
      <c r="AG40">
        <v>20260515</v>
      </c>
      <c r="AH40">
        <v>0</v>
      </c>
      <c r="AI40" s="15">
        <f t="shared" si="17"/>
        <v>127125</v>
      </c>
      <c r="AJ40" t="s">
        <v>187</v>
      </c>
    </row>
    <row r="41" spans="1:36">
      <c r="A41" t="s">
        <v>82</v>
      </c>
      <c r="B41" t="s">
        <v>36</v>
      </c>
      <c r="C41" t="s">
        <v>82</v>
      </c>
      <c r="D41" t="s">
        <v>191</v>
      </c>
      <c r="E41" s="18" t="s">
        <v>38</v>
      </c>
      <c r="F41" s="18" t="s">
        <v>192</v>
      </c>
      <c r="G41" t="s">
        <v>193</v>
      </c>
      <c r="H41" t="s">
        <v>41</v>
      </c>
      <c r="I41" s="8">
        <v>20000</v>
      </c>
      <c r="J41" s="8">
        <v>10</v>
      </c>
      <c r="K41" s="8"/>
      <c r="L41" s="8">
        <f t="shared" si="0"/>
        <v>10</v>
      </c>
      <c r="M41" s="9">
        <f t="shared" si="1"/>
        <v>200000</v>
      </c>
      <c r="N41" t="s">
        <v>193</v>
      </c>
      <c r="O41" t="s">
        <v>194</v>
      </c>
      <c r="P41" t="s">
        <v>43</v>
      </c>
      <c r="Q41" t="str">
        <f t="shared" si="13"/>
        <v>BRUTO</v>
      </c>
      <c r="R41" t="str">
        <f t="shared" si="14"/>
        <v>RETENCION</v>
      </c>
      <c r="S41" t="str">
        <f t="shared" si="12"/>
        <v>LIQUIDO A PAGAR</v>
      </c>
      <c r="T41" s="10">
        <f t="shared" si="5"/>
        <v>200000</v>
      </c>
      <c r="U41" s="11">
        <v>0.1525</v>
      </c>
      <c r="V41" s="12">
        <f t="shared" si="6"/>
        <v>30500</v>
      </c>
      <c r="W41" s="10">
        <f t="shared" si="7"/>
        <v>169500</v>
      </c>
      <c r="X41" s="10" t="s">
        <v>44</v>
      </c>
      <c r="Y41" t="s">
        <v>193</v>
      </c>
      <c r="Z41" t="s">
        <v>195</v>
      </c>
      <c r="AA41" t="s">
        <v>68</v>
      </c>
      <c r="AB41" t="s">
        <v>105</v>
      </c>
      <c r="AC41">
        <v>31400009590</v>
      </c>
      <c r="AD41" s="13">
        <v>46173</v>
      </c>
      <c r="AE41" s="14" t="s">
        <v>48</v>
      </c>
      <c r="AF41" s="13">
        <v>46188</v>
      </c>
      <c r="AG41">
        <v>20260516</v>
      </c>
      <c r="AH41">
        <v>0</v>
      </c>
      <c r="AI41" s="15">
        <f t="shared" si="17"/>
        <v>169500</v>
      </c>
      <c r="AJ41" t="s">
        <v>196</v>
      </c>
    </row>
    <row r="42" spans="1:36">
      <c r="A42" t="s">
        <v>89</v>
      </c>
      <c r="B42" t="s">
        <v>36</v>
      </c>
      <c r="C42" t="s">
        <v>89</v>
      </c>
      <c r="D42" t="s">
        <v>197</v>
      </c>
      <c r="E42" s="18" t="s">
        <v>38</v>
      </c>
      <c r="F42" s="18" t="s">
        <v>198</v>
      </c>
      <c r="G42" t="s">
        <v>199</v>
      </c>
      <c r="H42" t="s">
        <v>41</v>
      </c>
      <c r="I42" s="8">
        <v>21000</v>
      </c>
      <c r="J42" s="8">
        <v>10</v>
      </c>
      <c r="K42" s="8"/>
      <c r="L42" s="8">
        <f t="shared" si="0"/>
        <v>10</v>
      </c>
      <c r="M42" s="9">
        <f t="shared" si="1"/>
        <v>210000</v>
      </c>
      <c r="N42" t="s">
        <v>199</v>
      </c>
      <c r="O42" t="s">
        <v>200</v>
      </c>
      <c r="P42" t="s">
        <v>77</v>
      </c>
      <c r="Q42" t="str">
        <f t="shared" si="13"/>
        <v>NETO</v>
      </c>
      <c r="R42" t="str">
        <f t="shared" si="14"/>
        <v>IMPUESTO</v>
      </c>
      <c r="S42" t="str">
        <f t="shared" si="12"/>
        <v>TOTAL</v>
      </c>
      <c r="T42" s="10">
        <f t="shared" si="5"/>
        <v>210000</v>
      </c>
      <c r="U42" s="11">
        <f t="shared" ref="U42:U45" si="18">+IF(P42="TRATO",0,IF(P42="BOLETA",13%,19%))</f>
        <v>0.19</v>
      </c>
      <c r="V42" s="12">
        <f t="shared" si="6"/>
        <v>39900</v>
      </c>
      <c r="W42" s="10">
        <f t="shared" si="7"/>
        <v>249900</v>
      </c>
      <c r="X42" s="10" t="s">
        <v>44</v>
      </c>
      <c r="Y42" t="s">
        <v>199</v>
      </c>
      <c r="Z42" t="s">
        <v>201</v>
      </c>
      <c r="AA42" t="s">
        <v>46</v>
      </c>
      <c r="AB42" t="s">
        <v>105</v>
      </c>
      <c r="AC42">
        <v>15040256940</v>
      </c>
      <c r="AD42" s="13">
        <v>46173</v>
      </c>
      <c r="AE42" s="14" t="s">
        <v>48</v>
      </c>
      <c r="AF42" s="13">
        <v>46188</v>
      </c>
      <c r="AG42">
        <v>20260517</v>
      </c>
      <c r="AH42">
        <v>0</v>
      </c>
      <c r="AI42" s="15">
        <f t="shared" si="17"/>
        <v>249900</v>
      </c>
      <c r="AJ42" t="s">
        <v>202</v>
      </c>
    </row>
    <row r="43" spans="1:36">
      <c r="A43" t="s">
        <v>89</v>
      </c>
      <c r="B43" t="s">
        <v>36</v>
      </c>
      <c r="C43" t="s">
        <v>89</v>
      </c>
      <c r="D43" t="s">
        <v>203</v>
      </c>
      <c r="E43" s="18" t="s">
        <v>38</v>
      </c>
      <c r="F43" s="18" t="s">
        <v>198</v>
      </c>
      <c r="G43" t="s">
        <v>199</v>
      </c>
      <c r="H43" t="s">
        <v>41</v>
      </c>
      <c r="I43" s="8">
        <v>20000</v>
      </c>
      <c r="J43" s="8">
        <v>10</v>
      </c>
      <c r="K43" s="8"/>
      <c r="L43" s="8">
        <f t="shared" si="0"/>
        <v>10</v>
      </c>
      <c r="M43" s="9">
        <f t="shared" si="1"/>
        <v>200000</v>
      </c>
      <c r="N43" t="s">
        <v>199</v>
      </c>
      <c r="O43" t="s">
        <v>200</v>
      </c>
      <c r="P43" t="s">
        <v>77</v>
      </c>
      <c r="Q43" t="str">
        <f t="shared" si="13"/>
        <v>NETO</v>
      </c>
      <c r="R43" t="str">
        <f t="shared" si="14"/>
        <v>IMPUESTO</v>
      </c>
      <c r="S43" t="str">
        <f t="shared" si="12"/>
        <v>TOTAL</v>
      </c>
      <c r="T43" s="10">
        <f t="shared" si="5"/>
        <v>200000</v>
      </c>
      <c r="U43" s="11">
        <f t="shared" si="18"/>
        <v>0.19</v>
      </c>
      <c r="V43" s="12">
        <f t="shared" si="6"/>
        <v>38000</v>
      </c>
      <c r="W43" s="10">
        <f t="shared" si="7"/>
        <v>238000</v>
      </c>
      <c r="X43" s="10" t="s">
        <v>44</v>
      </c>
      <c r="Y43" t="s">
        <v>199</v>
      </c>
      <c r="Z43" t="s">
        <v>201</v>
      </c>
      <c r="AA43" t="s">
        <v>46</v>
      </c>
      <c r="AB43" t="s">
        <v>105</v>
      </c>
      <c r="AC43">
        <v>15040256940</v>
      </c>
      <c r="AD43" s="13">
        <v>46173</v>
      </c>
      <c r="AE43" s="14" t="s">
        <v>48</v>
      </c>
      <c r="AF43" s="13">
        <v>46188</v>
      </c>
      <c r="AG43">
        <v>20260517</v>
      </c>
      <c r="AH43">
        <v>0</v>
      </c>
      <c r="AI43" s="15">
        <f t="shared" si="17"/>
        <v>238000</v>
      </c>
      <c r="AJ43" t="s">
        <v>202</v>
      </c>
    </row>
    <row r="44" spans="1:36">
      <c r="A44" t="s">
        <v>89</v>
      </c>
      <c r="B44" t="s">
        <v>36</v>
      </c>
      <c r="C44" t="s">
        <v>89</v>
      </c>
      <c r="D44" t="s">
        <v>204</v>
      </c>
      <c r="E44" s="18" t="s">
        <v>38</v>
      </c>
      <c r="F44" s="18" t="s">
        <v>198</v>
      </c>
      <c r="G44" t="s">
        <v>199</v>
      </c>
      <c r="H44" t="s">
        <v>41</v>
      </c>
      <c r="I44" s="8">
        <v>20000</v>
      </c>
      <c r="J44" s="8">
        <v>10</v>
      </c>
      <c r="K44" s="8"/>
      <c r="L44" s="8">
        <f t="shared" si="0"/>
        <v>10</v>
      </c>
      <c r="M44" s="9">
        <f t="shared" si="1"/>
        <v>200000</v>
      </c>
      <c r="N44" t="s">
        <v>199</v>
      </c>
      <c r="O44" t="s">
        <v>200</v>
      </c>
      <c r="P44" t="s">
        <v>77</v>
      </c>
      <c r="Q44" t="str">
        <f t="shared" si="13"/>
        <v>NETO</v>
      </c>
      <c r="R44" t="str">
        <f t="shared" si="14"/>
        <v>IMPUESTO</v>
      </c>
      <c r="S44" t="str">
        <f t="shared" si="12"/>
        <v>TOTAL</v>
      </c>
      <c r="T44" s="10">
        <f t="shared" si="5"/>
        <v>200000</v>
      </c>
      <c r="U44" s="11">
        <f t="shared" si="18"/>
        <v>0.19</v>
      </c>
      <c r="V44" s="12">
        <f t="shared" si="6"/>
        <v>38000</v>
      </c>
      <c r="W44" s="10">
        <f t="shared" si="7"/>
        <v>238000</v>
      </c>
      <c r="X44" s="10" t="s">
        <v>44</v>
      </c>
      <c r="Y44" t="s">
        <v>199</v>
      </c>
      <c r="Z44" t="s">
        <v>201</v>
      </c>
      <c r="AA44" t="s">
        <v>46</v>
      </c>
      <c r="AB44" t="s">
        <v>105</v>
      </c>
      <c r="AC44">
        <v>15040256940</v>
      </c>
      <c r="AD44" s="13">
        <v>46173</v>
      </c>
      <c r="AE44" s="14" t="s">
        <v>48</v>
      </c>
      <c r="AF44" s="13">
        <v>46188</v>
      </c>
      <c r="AG44">
        <v>20260517</v>
      </c>
      <c r="AH44">
        <v>0</v>
      </c>
      <c r="AI44" s="15">
        <f t="shared" si="17"/>
        <v>238000</v>
      </c>
      <c r="AJ44" t="s">
        <v>202</v>
      </c>
    </row>
    <row r="45" spans="1:36">
      <c r="A45" t="s">
        <v>89</v>
      </c>
      <c r="B45" t="s">
        <v>36</v>
      </c>
      <c r="C45" t="s">
        <v>89</v>
      </c>
      <c r="D45" t="s">
        <v>205</v>
      </c>
      <c r="E45" s="18" t="s">
        <v>38</v>
      </c>
      <c r="F45" s="18" t="s">
        <v>198</v>
      </c>
      <c r="G45" t="s">
        <v>199</v>
      </c>
      <c r="H45" t="s">
        <v>41</v>
      </c>
      <c r="I45" s="8">
        <v>30000</v>
      </c>
      <c r="J45" s="8">
        <v>10</v>
      </c>
      <c r="K45" s="8"/>
      <c r="L45" s="8">
        <f t="shared" si="0"/>
        <v>10</v>
      </c>
      <c r="M45" s="9">
        <f t="shared" si="1"/>
        <v>300000</v>
      </c>
      <c r="N45" t="s">
        <v>199</v>
      </c>
      <c r="O45" t="s">
        <v>200</v>
      </c>
      <c r="P45" t="s">
        <v>77</v>
      </c>
      <c r="Q45" t="str">
        <f t="shared" si="13"/>
        <v>NETO</v>
      </c>
      <c r="R45" t="str">
        <f t="shared" si="14"/>
        <v>IMPUESTO</v>
      </c>
      <c r="S45" t="str">
        <f t="shared" si="12"/>
        <v>TOTAL</v>
      </c>
      <c r="T45" s="10">
        <f t="shared" si="5"/>
        <v>300000</v>
      </c>
      <c r="U45" s="11">
        <f t="shared" si="18"/>
        <v>0.19</v>
      </c>
      <c r="V45" s="12">
        <f t="shared" si="6"/>
        <v>57000</v>
      </c>
      <c r="W45" s="10">
        <f t="shared" si="7"/>
        <v>357000</v>
      </c>
      <c r="X45" s="10" t="s">
        <v>44</v>
      </c>
      <c r="Y45" t="s">
        <v>199</v>
      </c>
      <c r="Z45" t="s">
        <v>201</v>
      </c>
      <c r="AA45" t="s">
        <v>46</v>
      </c>
      <c r="AB45" t="s">
        <v>105</v>
      </c>
      <c r="AC45">
        <v>15040256940</v>
      </c>
      <c r="AD45" s="13">
        <v>46173</v>
      </c>
      <c r="AE45" s="14" t="s">
        <v>48</v>
      </c>
      <c r="AF45" s="13">
        <v>46188</v>
      </c>
      <c r="AG45">
        <v>20260517</v>
      </c>
      <c r="AH45">
        <v>0</v>
      </c>
      <c r="AI45" s="15">
        <f t="shared" si="17"/>
        <v>357000</v>
      </c>
      <c r="AJ45" t="s">
        <v>202</v>
      </c>
    </row>
    <row r="46" spans="1:36">
      <c r="A46" t="s">
        <v>71</v>
      </c>
      <c r="B46" t="s">
        <v>36</v>
      </c>
      <c r="C46" t="s">
        <v>71</v>
      </c>
      <c r="D46" t="s">
        <v>173</v>
      </c>
      <c r="E46" s="18" t="s">
        <v>38</v>
      </c>
      <c r="F46" s="18" t="s">
        <v>206</v>
      </c>
      <c r="G46" t="s">
        <v>207</v>
      </c>
      <c r="H46" t="s">
        <v>176</v>
      </c>
      <c r="I46" s="8">
        <v>35000</v>
      </c>
      <c r="J46" s="8">
        <v>10</v>
      </c>
      <c r="K46" s="8"/>
      <c r="L46" s="8">
        <f t="shared" si="0"/>
        <v>10</v>
      </c>
      <c r="M46" s="9">
        <f t="shared" si="1"/>
        <v>350000</v>
      </c>
      <c r="N46" t="s">
        <v>207</v>
      </c>
      <c r="O46" t="s">
        <v>208</v>
      </c>
      <c r="P46" t="s">
        <v>43</v>
      </c>
      <c r="Q46" t="str">
        <f t="shared" si="13"/>
        <v>BRUTO</v>
      </c>
      <c r="R46" t="str">
        <f t="shared" si="14"/>
        <v>RETENCION</v>
      </c>
      <c r="S46" t="str">
        <f t="shared" si="12"/>
        <v>LIQUIDO A PAGAR</v>
      </c>
      <c r="T46" s="10">
        <f t="shared" si="5"/>
        <v>350000</v>
      </c>
      <c r="U46" s="11">
        <v>0.1525</v>
      </c>
      <c r="V46" s="12">
        <f t="shared" si="6"/>
        <v>53375</v>
      </c>
      <c r="W46" s="10">
        <f t="shared" si="7"/>
        <v>296625</v>
      </c>
      <c r="X46" s="10" t="s">
        <v>44</v>
      </c>
      <c r="Y46" t="s">
        <v>207</v>
      </c>
      <c r="Z46" t="s">
        <v>209</v>
      </c>
      <c r="AA46" t="s">
        <v>210</v>
      </c>
      <c r="AB46" t="s">
        <v>105</v>
      </c>
      <c r="AC46">
        <v>98762741</v>
      </c>
      <c r="AD46" s="13">
        <v>46173</v>
      </c>
      <c r="AE46" s="14" t="s">
        <v>48</v>
      </c>
      <c r="AF46" s="13">
        <v>46188</v>
      </c>
      <c r="AG46">
        <v>20260518</v>
      </c>
      <c r="AH46">
        <v>0</v>
      </c>
      <c r="AI46" s="15">
        <f t="shared" si="17"/>
        <v>296625</v>
      </c>
      <c r="AJ46" t="s">
        <v>211</v>
      </c>
    </row>
    <row r="47" spans="1:36">
      <c r="A47" t="s">
        <v>82</v>
      </c>
      <c r="B47" t="s">
        <v>36</v>
      </c>
      <c r="C47" t="s">
        <v>61</v>
      </c>
      <c r="D47" t="s">
        <v>212</v>
      </c>
      <c r="E47" s="18" t="s">
        <v>38</v>
      </c>
      <c r="F47" s="18" t="s">
        <v>206</v>
      </c>
      <c r="G47" t="s">
        <v>207</v>
      </c>
      <c r="H47" t="s">
        <v>41</v>
      </c>
      <c r="I47" s="8">
        <v>25000</v>
      </c>
      <c r="J47" s="8">
        <v>10</v>
      </c>
      <c r="K47" s="8"/>
      <c r="L47" s="8">
        <f t="shared" si="0"/>
        <v>10</v>
      </c>
      <c r="M47" s="9">
        <f t="shared" si="1"/>
        <v>250000</v>
      </c>
      <c r="N47" t="s">
        <v>207</v>
      </c>
      <c r="O47" t="s">
        <v>208</v>
      </c>
      <c r="P47" t="s">
        <v>43</v>
      </c>
      <c r="Q47" t="str">
        <f t="shared" si="13"/>
        <v>BRUTO</v>
      </c>
      <c r="R47" t="str">
        <f t="shared" si="14"/>
        <v>RETENCION</v>
      </c>
      <c r="S47" t="str">
        <f t="shared" si="12"/>
        <v>LIQUIDO A PAGAR</v>
      </c>
      <c r="T47" s="10">
        <f t="shared" si="5"/>
        <v>250000</v>
      </c>
      <c r="U47" s="11">
        <v>0.1525</v>
      </c>
      <c r="V47" s="12">
        <f t="shared" si="6"/>
        <v>38125</v>
      </c>
      <c r="W47" s="10">
        <f t="shared" si="7"/>
        <v>211875</v>
      </c>
      <c r="X47" s="10" t="s">
        <v>44</v>
      </c>
      <c r="Y47" t="s">
        <v>207</v>
      </c>
      <c r="Z47" t="s">
        <v>209</v>
      </c>
      <c r="AA47" t="s">
        <v>210</v>
      </c>
      <c r="AB47" t="s">
        <v>105</v>
      </c>
      <c r="AC47">
        <v>98762741</v>
      </c>
      <c r="AD47" s="13">
        <v>46173</v>
      </c>
      <c r="AE47" s="14" t="s">
        <v>48</v>
      </c>
      <c r="AF47" s="13">
        <v>46188</v>
      </c>
      <c r="AG47">
        <v>20260518</v>
      </c>
      <c r="AH47">
        <v>0</v>
      </c>
      <c r="AI47" s="15">
        <f t="shared" si="17"/>
        <v>211875</v>
      </c>
      <c r="AJ47" t="s">
        <v>211</v>
      </c>
    </row>
    <row r="48" spans="1:36">
      <c r="A48" t="s">
        <v>35</v>
      </c>
      <c r="B48" t="s">
        <v>36</v>
      </c>
      <c r="C48" t="s">
        <v>35</v>
      </c>
      <c r="D48" t="s">
        <v>213</v>
      </c>
      <c r="E48" s="18" t="s">
        <v>38</v>
      </c>
      <c r="F48" s="18" t="s">
        <v>214</v>
      </c>
      <c r="G48" t="s">
        <v>215</v>
      </c>
      <c r="H48" t="s">
        <v>41</v>
      </c>
      <c r="I48" s="8">
        <v>17000</v>
      </c>
      <c r="J48" s="8">
        <v>10</v>
      </c>
      <c r="K48" s="8"/>
      <c r="L48" s="8">
        <f t="shared" si="0"/>
        <v>10</v>
      </c>
      <c r="M48" s="9">
        <f t="shared" si="1"/>
        <v>170000</v>
      </c>
      <c r="N48" t="s">
        <v>215</v>
      </c>
      <c r="O48" t="s">
        <v>216</v>
      </c>
      <c r="P48" t="s">
        <v>77</v>
      </c>
      <c r="Q48" t="str">
        <f t="shared" si="13"/>
        <v>NETO</v>
      </c>
      <c r="R48" t="str">
        <f t="shared" si="14"/>
        <v>IMPUESTO</v>
      </c>
      <c r="S48" t="str">
        <f t="shared" si="12"/>
        <v>TOTAL</v>
      </c>
      <c r="T48" s="10">
        <f t="shared" si="5"/>
        <v>170000</v>
      </c>
      <c r="U48" s="11">
        <f>+IF(P48="TRATO",0,IF(P48="BOLETA",13%,19%))</f>
        <v>0.19</v>
      </c>
      <c r="V48" s="12">
        <f t="shared" si="6"/>
        <v>32300</v>
      </c>
      <c r="W48" s="10">
        <f t="shared" si="7"/>
        <v>202300</v>
      </c>
      <c r="X48" s="10" t="s">
        <v>44</v>
      </c>
      <c r="Y48" t="s">
        <v>215</v>
      </c>
      <c r="Z48" t="s">
        <v>217</v>
      </c>
      <c r="AA48" t="s">
        <v>46</v>
      </c>
      <c r="AB48" t="s">
        <v>105</v>
      </c>
      <c r="AC48">
        <v>10090020490</v>
      </c>
      <c r="AD48" s="13">
        <v>46173</v>
      </c>
      <c r="AE48" s="14" t="s">
        <v>48</v>
      </c>
      <c r="AF48" s="13">
        <v>46188</v>
      </c>
      <c r="AG48">
        <v>20260519</v>
      </c>
      <c r="AH48">
        <v>0</v>
      </c>
      <c r="AI48" s="15">
        <f t="shared" si="17"/>
        <v>202300</v>
      </c>
      <c r="AJ48" t="s">
        <v>218</v>
      </c>
    </row>
    <row r="49" spans="1:36">
      <c r="A49" t="s">
        <v>50</v>
      </c>
      <c r="B49" t="s">
        <v>36</v>
      </c>
      <c r="C49" t="s">
        <v>50</v>
      </c>
      <c r="D49" t="s">
        <v>219</v>
      </c>
      <c r="E49" s="18" t="s">
        <v>38</v>
      </c>
      <c r="F49" s="18" t="s">
        <v>52</v>
      </c>
      <c r="G49" t="s">
        <v>220</v>
      </c>
      <c r="H49" t="s">
        <v>41</v>
      </c>
      <c r="I49" s="8">
        <v>31500</v>
      </c>
      <c r="J49" s="8">
        <v>10</v>
      </c>
      <c r="K49" s="8"/>
      <c r="L49" s="8">
        <f t="shared" si="0"/>
        <v>10</v>
      </c>
      <c r="M49" s="9">
        <f t="shared" si="1"/>
        <v>315000</v>
      </c>
      <c r="N49" t="s">
        <v>220</v>
      </c>
      <c r="O49" t="s">
        <v>221</v>
      </c>
      <c r="P49" t="s">
        <v>43</v>
      </c>
      <c r="Q49" t="str">
        <f t="shared" si="13"/>
        <v>BRUTO</v>
      </c>
      <c r="R49" t="str">
        <f t="shared" si="14"/>
        <v>RETENCION</v>
      </c>
      <c r="S49" t="str">
        <f t="shared" si="12"/>
        <v>LIQUIDO A PAGAR</v>
      </c>
      <c r="T49" s="10">
        <f t="shared" si="5"/>
        <v>315000</v>
      </c>
      <c r="U49" s="11">
        <v>0.1525</v>
      </c>
      <c r="V49" s="12">
        <f t="shared" si="6"/>
        <v>48037.5</v>
      </c>
      <c r="W49" s="10">
        <f t="shared" si="7"/>
        <v>266962</v>
      </c>
      <c r="X49" s="10" t="s">
        <v>44</v>
      </c>
      <c r="Y49" t="s">
        <v>220</v>
      </c>
      <c r="Z49" t="s">
        <v>222</v>
      </c>
      <c r="AA49" t="s">
        <v>68</v>
      </c>
      <c r="AB49" t="s">
        <v>47</v>
      </c>
      <c r="AC49">
        <v>7362187</v>
      </c>
      <c r="AD49" s="13">
        <v>46173</v>
      </c>
      <c r="AE49" s="14" t="s">
        <v>48</v>
      </c>
      <c r="AF49" s="13">
        <v>46188</v>
      </c>
      <c r="AG49">
        <v>20260520</v>
      </c>
      <c r="AH49">
        <v>0</v>
      </c>
      <c r="AI49" s="15">
        <f t="shared" si="17"/>
        <v>266962</v>
      </c>
      <c r="AJ49" t="s">
        <v>223</v>
      </c>
    </row>
    <row r="50" spans="1:36">
      <c r="A50" t="s">
        <v>50</v>
      </c>
      <c r="B50" t="s">
        <v>36</v>
      </c>
      <c r="C50" t="s">
        <v>50</v>
      </c>
      <c r="D50" t="s">
        <v>197</v>
      </c>
      <c r="E50" s="18" t="s">
        <v>38</v>
      </c>
      <c r="F50" s="18" t="s">
        <v>52</v>
      </c>
      <c r="G50" t="s">
        <v>220</v>
      </c>
      <c r="H50" t="s">
        <v>41</v>
      </c>
      <c r="I50" s="8">
        <v>14500</v>
      </c>
      <c r="J50" s="8">
        <v>10</v>
      </c>
      <c r="K50" s="8"/>
      <c r="L50" s="8">
        <f t="shared" si="0"/>
        <v>10</v>
      </c>
      <c r="M50" s="9">
        <f t="shared" si="1"/>
        <v>145000</v>
      </c>
      <c r="N50" t="s">
        <v>220</v>
      </c>
      <c r="O50" t="s">
        <v>221</v>
      </c>
      <c r="P50" t="s">
        <v>43</v>
      </c>
      <c r="Q50" t="str">
        <f t="shared" si="13"/>
        <v>BRUTO</v>
      </c>
      <c r="R50" t="str">
        <f t="shared" si="14"/>
        <v>RETENCION</v>
      </c>
      <c r="S50" t="str">
        <f t="shared" si="12"/>
        <v>LIQUIDO A PAGAR</v>
      </c>
      <c r="T50" s="10">
        <f t="shared" si="5"/>
        <v>145000</v>
      </c>
      <c r="U50" s="11">
        <v>0.1525</v>
      </c>
      <c r="V50" s="12">
        <f t="shared" si="6"/>
        <v>22112.5</v>
      </c>
      <c r="W50" s="10">
        <f t="shared" si="7"/>
        <v>122887</v>
      </c>
      <c r="X50" s="10" t="s">
        <v>44</v>
      </c>
      <c r="Y50" t="s">
        <v>220</v>
      </c>
      <c r="Z50" t="s">
        <v>222</v>
      </c>
      <c r="AA50" t="s">
        <v>68</v>
      </c>
      <c r="AB50" t="s">
        <v>47</v>
      </c>
      <c r="AC50">
        <v>7362187</v>
      </c>
      <c r="AD50" s="13">
        <v>46173</v>
      </c>
      <c r="AE50" s="14" t="s">
        <v>48</v>
      </c>
      <c r="AF50" s="13">
        <v>46188</v>
      </c>
      <c r="AG50">
        <v>20260520</v>
      </c>
      <c r="AH50">
        <v>0</v>
      </c>
      <c r="AI50" s="15">
        <f t="shared" si="17"/>
        <v>122887</v>
      </c>
      <c r="AJ50" t="s">
        <v>223</v>
      </c>
    </row>
    <row r="51" spans="1:36">
      <c r="A51" t="s">
        <v>50</v>
      </c>
      <c r="B51" t="s">
        <v>36</v>
      </c>
      <c r="C51" t="s">
        <v>50</v>
      </c>
      <c r="D51" t="s">
        <v>224</v>
      </c>
      <c r="E51" s="18" t="s">
        <v>38</v>
      </c>
      <c r="F51" s="18" t="s">
        <v>52</v>
      </c>
      <c r="G51" t="s">
        <v>225</v>
      </c>
      <c r="H51" t="s">
        <v>41</v>
      </c>
      <c r="I51" s="8">
        <v>15000</v>
      </c>
      <c r="J51" s="8">
        <v>10</v>
      </c>
      <c r="K51" s="8"/>
      <c r="L51" s="8">
        <f t="shared" ref="L51:L95" si="19">+J51-K51</f>
        <v>10</v>
      </c>
      <c r="M51" s="9">
        <f t="shared" ref="M51:M93" si="20">+I51*L51</f>
        <v>150000</v>
      </c>
      <c r="N51" t="s">
        <v>225</v>
      </c>
      <c r="O51" t="s">
        <v>226</v>
      </c>
      <c r="P51" t="s">
        <v>43</v>
      </c>
      <c r="Q51" t="str">
        <f t="shared" si="13"/>
        <v>BRUTO</v>
      </c>
      <c r="R51" t="str">
        <f t="shared" si="14"/>
        <v>RETENCION</v>
      </c>
      <c r="S51" t="str">
        <f t="shared" si="12"/>
        <v>LIQUIDO A PAGAR</v>
      </c>
      <c r="T51" s="10">
        <f t="shared" ref="T51:T95" si="21">+M51</f>
        <v>150000</v>
      </c>
      <c r="U51" s="11">
        <v>0.1525</v>
      </c>
      <c r="V51" s="12">
        <f t="shared" ref="V51:V95" si="22">+T51*U51</f>
        <v>22875</v>
      </c>
      <c r="W51" s="10">
        <f t="shared" ref="W51:W95" si="23">+IF(P51="BOLETA",INT(T51-V51),IF(P51="FACTURA EXENTA",INT(T51),INT(T51+V51)))</f>
        <v>127125</v>
      </c>
      <c r="X51" s="10" t="s">
        <v>44</v>
      </c>
      <c r="Y51" t="s">
        <v>225</v>
      </c>
      <c r="Z51" t="s">
        <v>227</v>
      </c>
      <c r="AA51" t="s">
        <v>68</v>
      </c>
      <c r="AB51" t="s">
        <v>47</v>
      </c>
      <c r="AC51">
        <v>8709153</v>
      </c>
      <c r="AD51" s="13">
        <v>46173</v>
      </c>
      <c r="AE51" s="14" t="s">
        <v>48</v>
      </c>
      <c r="AF51" s="13">
        <v>46188</v>
      </c>
      <c r="AG51">
        <v>20260521</v>
      </c>
      <c r="AH51">
        <v>0</v>
      </c>
      <c r="AI51" s="15">
        <f t="shared" si="17"/>
        <v>127125</v>
      </c>
      <c r="AJ51" t="s">
        <v>228</v>
      </c>
    </row>
    <row r="52" spans="1:36">
      <c r="A52" t="s">
        <v>71</v>
      </c>
      <c r="B52" t="s">
        <v>36</v>
      </c>
      <c r="C52" t="s">
        <v>71</v>
      </c>
      <c r="D52" t="s">
        <v>229</v>
      </c>
      <c r="E52" s="18" t="s">
        <v>38</v>
      </c>
      <c r="F52" s="18" t="s">
        <v>230</v>
      </c>
      <c r="G52" t="s">
        <v>231</v>
      </c>
      <c r="H52" t="s">
        <v>41</v>
      </c>
      <c r="I52" s="8">
        <v>30000</v>
      </c>
      <c r="J52" s="8">
        <v>10</v>
      </c>
      <c r="K52" s="8"/>
      <c r="L52" s="8">
        <f t="shared" si="19"/>
        <v>10</v>
      </c>
      <c r="M52" s="9">
        <f t="shared" si="20"/>
        <v>300000</v>
      </c>
      <c r="N52" t="s">
        <v>231</v>
      </c>
      <c r="O52" t="s">
        <v>232</v>
      </c>
      <c r="P52" t="s">
        <v>43</v>
      </c>
      <c r="Q52" t="str">
        <f t="shared" si="13"/>
        <v>BRUTO</v>
      </c>
      <c r="R52" t="str">
        <f t="shared" si="14"/>
        <v>RETENCION</v>
      </c>
      <c r="S52" t="str">
        <f t="shared" si="12"/>
        <v>LIQUIDO A PAGAR</v>
      </c>
      <c r="T52" s="10">
        <f t="shared" si="21"/>
        <v>300000</v>
      </c>
      <c r="U52" s="11">
        <v>0.1525</v>
      </c>
      <c r="V52" s="12">
        <f t="shared" si="22"/>
        <v>45750</v>
      </c>
      <c r="W52" s="10">
        <f t="shared" si="23"/>
        <v>254250</v>
      </c>
      <c r="X52" s="10" t="s">
        <v>44</v>
      </c>
      <c r="Y52" t="s">
        <v>231</v>
      </c>
      <c r="Z52" t="s">
        <v>233</v>
      </c>
      <c r="AA52" t="s">
        <v>68</v>
      </c>
      <c r="AB52" t="s">
        <v>47</v>
      </c>
      <c r="AC52">
        <v>9112125</v>
      </c>
      <c r="AD52" s="13">
        <v>46173</v>
      </c>
      <c r="AE52" s="14" t="s">
        <v>48</v>
      </c>
      <c r="AF52" s="13">
        <v>46188</v>
      </c>
      <c r="AG52">
        <v>20260522</v>
      </c>
      <c r="AH52">
        <v>0</v>
      </c>
      <c r="AI52" s="15">
        <f t="shared" si="17"/>
        <v>254250</v>
      </c>
      <c r="AJ52" t="s">
        <v>234</v>
      </c>
    </row>
    <row r="53" spans="1:36">
      <c r="A53" t="s">
        <v>71</v>
      </c>
      <c r="B53" t="s">
        <v>36</v>
      </c>
      <c r="C53" t="s">
        <v>71</v>
      </c>
      <c r="D53" t="s">
        <v>182</v>
      </c>
      <c r="E53" s="18" t="s">
        <v>38</v>
      </c>
      <c r="F53" s="18" t="s">
        <v>230</v>
      </c>
      <c r="G53" t="s">
        <v>231</v>
      </c>
      <c r="H53" t="s">
        <v>41</v>
      </c>
      <c r="I53" s="8">
        <v>12000</v>
      </c>
      <c r="J53" s="8">
        <v>10</v>
      </c>
      <c r="K53" s="8"/>
      <c r="L53" s="8">
        <f t="shared" si="19"/>
        <v>10</v>
      </c>
      <c r="M53" s="9">
        <f t="shared" si="20"/>
        <v>120000</v>
      </c>
      <c r="N53" t="s">
        <v>231</v>
      </c>
      <c r="O53" t="s">
        <v>232</v>
      </c>
      <c r="P53" t="s">
        <v>43</v>
      </c>
      <c r="Q53" t="str">
        <f t="shared" si="13"/>
        <v>BRUTO</v>
      </c>
      <c r="R53" t="str">
        <f t="shared" si="14"/>
        <v>RETENCION</v>
      </c>
      <c r="S53" t="str">
        <f t="shared" si="12"/>
        <v>LIQUIDO A PAGAR</v>
      </c>
      <c r="T53" s="10">
        <f t="shared" si="21"/>
        <v>120000</v>
      </c>
      <c r="U53" s="11">
        <v>0.1525</v>
      </c>
      <c r="V53" s="12">
        <f t="shared" si="22"/>
        <v>18300</v>
      </c>
      <c r="W53" s="10">
        <f t="shared" si="23"/>
        <v>101700</v>
      </c>
      <c r="X53" s="10" t="s">
        <v>44</v>
      </c>
      <c r="Y53" t="s">
        <v>231</v>
      </c>
      <c r="Z53" t="s">
        <v>233</v>
      </c>
      <c r="AA53" t="s">
        <v>68</v>
      </c>
      <c r="AB53" t="s">
        <v>47</v>
      </c>
      <c r="AC53">
        <v>9112125</v>
      </c>
      <c r="AD53" s="13">
        <v>46173</v>
      </c>
      <c r="AE53" s="14" t="s">
        <v>48</v>
      </c>
      <c r="AF53" s="13">
        <v>46188</v>
      </c>
      <c r="AG53">
        <v>20260522</v>
      </c>
      <c r="AH53">
        <v>0</v>
      </c>
      <c r="AI53" s="15">
        <f t="shared" si="17"/>
        <v>101700</v>
      </c>
      <c r="AJ53" t="s">
        <v>234</v>
      </c>
    </row>
    <row r="54" spans="1:36">
      <c r="A54" t="s">
        <v>89</v>
      </c>
      <c r="B54" t="s">
        <v>36</v>
      </c>
      <c r="C54" t="s">
        <v>89</v>
      </c>
      <c r="D54" t="s">
        <v>219</v>
      </c>
      <c r="E54" s="18" t="s">
        <v>97</v>
      </c>
      <c r="F54" s="18" t="s">
        <v>235</v>
      </c>
      <c r="G54" t="s">
        <v>236</v>
      </c>
      <c r="H54" t="s">
        <v>237</v>
      </c>
      <c r="I54" s="8">
        <v>350000</v>
      </c>
      <c r="J54" s="8">
        <v>1</v>
      </c>
      <c r="K54" s="8"/>
      <c r="L54" s="8">
        <f t="shared" si="19"/>
        <v>1</v>
      </c>
      <c r="M54" s="9">
        <f t="shared" si="20"/>
        <v>350000</v>
      </c>
      <c r="N54" t="s">
        <v>236</v>
      </c>
      <c r="O54" t="s">
        <v>238</v>
      </c>
      <c r="P54" t="s">
        <v>77</v>
      </c>
      <c r="Q54" t="str">
        <f t="shared" si="13"/>
        <v>NETO</v>
      </c>
      <c r="R54" t="str">
        <f t="shared" si="14"/>
        <v>IMPUESTO</v>
      </c>
      <c r="S54" t="str">
        <f t="shared" si="12"/>
        <v>TOTAL</v>
      </c>
      <c r="T54" s="10">
        <f t="shared" si="21"/>
        <v>350000</v>
      </c>
      <c r="U54" s="11">
        <f t="shared" ref="U54:U62" si="24">+IF(P54="TRATO",0,IF(P54="BOLETA",13%,19%))</f>
        <v>0.19</v>
      </c>
      <c r="V54" s="12">
        <f t="shared" si="22"/>
        <v>66500</v>
      </c>
      <c r="W54" s="10">
        <f t="shared" si="23"/>
        <v>416500</v>
      </c>
      <c r="X54" s="10" t="s">
        <v>44</v>
      </c>
      <c r="Y54" t="s">
        <v>236</v>
      </c>
      <c r="Z54" t="s">
        <v>239</v>
      </c>
      <c r="AA54" t="s">
        <v>46</v>
      </c>
      <c r="AB54" t="s">
        <v>105</v>
      </c>
      <c r="AC54">
        <v>10090009120</v>
      </c>
      <c r="AD54" s="13">
        <v>46173</v>
      </c>
      <c r="AE54" s="14" t="s">
        <v>48</v>
      </c>
      <c r="AF54" s="13">
        <v>46188</v>
      </c>
      <c r="AG54">
        <v>20260523</v>
      </c>
      <c r="AH54">
        <v>0</v>
      </c>
      <c r="AI54" s="15">
        <f t="shared" si="17"/>
        <v>416500</v>
      </c>
      <c r="AJ54" t="s">
        <v>240</v>
      </c>
    </row>
    <row r="55" spans="1:36">
      <c r="A55" t="s">
        <v>89</v>
      </c>
      <c r="B55" t="s">
        <v>36</v>
      </c>
      <c r="C55" t="s">
        <v>89</v>
      </c>
      <c r="D55" t="s">
        <v>241</v>
      </c>
      <c r="E55" s="18" t="s">
        <v>38</v>
      </c>
      <c r="F55" s="18" t="s">
        <v>235</v>
      </c>
      <c r="G55" t="s">
        <v>236</v>
      </c>
      <c r="H55" t="s">
        <v>41</v>
      </c>
      <c r="I55" s="8">
        <v>30000</v>
      </c>
      <c r="J55" s="8">
        <v>10</v>
      </c>
      <c r="K55" s="8"/>
      <c r="L55" s="8">
        <f t="shared" si="19"/>
        <v>10</v>
      </c>
      <c r="M55" s="9">
        <f t="shared" si="20"/>
        <v>300000</v>
      </c>
      <c r="N55" t="s">
        <v>236</v>
      </c>
      <c r="O55" t="s">
        <v>238</v>
      </c>
      <c r="P55" t="s">
        <v>77</v>
      </c>
      <c r="Q55" t="str">
        <f t="shared" si="13"/>
        <v>NETO</v>
      </c>
      <c r="R55" t="str">
        <f t="shared" si="14"/>
        <v>IMPUESTO</v>
      </c>
      <c r="S55" t="str">
        <f t="shared" si="12"/>
        <v>TOTAL</v>
      </c>
      <c r="T55" s="10">
        <f t="shared" si="21"/>
        <v>300000</v>
      </c>
      <c r="U55" s="11">
        <f t="shared" si="24"/>
        <v>0.19</v>
      </c>
      <c r="V55" s="12">
        <f t="shared" si="22"/>
        <v>57000</v>
      </c>
      <c r="W55" s="10">
        <f t="shared" si="23"/>
        <v>357000</v>
      </c>
      <c r="X55" s="10" t="s">
        <v>44</v>
      </c>
      <c r="Y55" t="s">
        <v>236</v>
      </c>
      <c r="Z55" t="s">
        <v>239</v>
      </c>
      <c r="AA55" t="s">
        <v>46</v>
      </c>
      <c r="AB55" t="s">
        <v>105</v>
      </c>
      <c r="AC55">
        <v>10090009120</v>
      </c>
      <c r="AD55" s="13">
        <v>46173</v>
      </c>
      <c r="AE55" s="14" t="s">
        <v>48</v>
      </c>
      <c r="AF55" s="13">
        <v>46188</v>
      </c>
      <c r="AG55">
        <v>20260523</v>
      </c>
      <c r="AH55">
        <v>0</v>
      </c>
      <c r="AI55" s="15">
        <f t="shared" si="17"/>
        <v>357000</v>
      </c>
      <c r="AJ55" t="s">
        <v>240</v>
      </c>
    </row>
    <row r="56" spans="1:36">
      <c r="A56" t="s">
        <v>89</v>
      </c>
      <c r="B56" t="s">
        <v>36</v>
      </c>
      <c r="C56" t="s">
        <v>89</v>
      </c>
      <c r="D56" t="s">
        <v>241</v>
      </c>
      <c r="E56" s="18" t="s">
        <v>38</v>
      </c>
      <c r="F56" s="18" t="s">
        <v>235</v>
      </c>
      <c r="G56" t="s">
        <v>242</v>
      </c>
      <c r="H56" t="s">
        <v>176</v>
      </c>
      <c r="I56" s="8">
        <v>30000</v>
      </c>
      <c r="J56" s="8">
        <v>10</v>
      </c>
      <c r="K56" s="8"/>
      <c r="L56" s="8">
        <f t="shared" si="19"/>
        <v>10</v>
      </c>
      <c r="M56" s="9">
        <f t="shared" si="20"/>
        <v>300000</v>
      </c>
      <c r="N56" t="s">
        <v>236</v>
      </c>
      <c r="O56" t="s">
        <v>238</v>
      </c>
      <c r="P56" t="s">
        <v>77</v>
      </c>
      <c r="Q56" t="str">
        <f t="shared" si="13"/>
        <v>NETO</v>
      </c>
      <c r="R56" t="str">
        <f t="shared" si="14"/>
        <v>IMPUESTO</v>
      </c>
      <c r="S56" t="str">
        <f t="shared" si="12"/>
        <v>TOTAL</v>
      </c>
      <c r="T56" s="10">
        <f t="shared" si="21"/>
        <v>300000</v>
      </c>
      <c r="U56" s="11">
        <f t="shared" si="24"/>
        <v>0.19</v>
      </c>
      <c r="V56" s="12">
        <f t="shared" si="22"/>
        <v>57000</v>
      </c>
      <c r="W56" s="10">
        <f t="shared" si="23"/>
        <v>357000</v>
      </c>
      <c r="X56" s="10" t="s">
        <v>44</v>
      </c>
      <c r="Y56" t="s">
        <v>236</v>
      </c>
      <c r="Z56" t="s">
        <v>239</v>
      </c>
      <c r="AA56" t="s">
        <v>46</v>
      </c>
      <c r="AB56" t="s">
        <v>105</v>
      </c>
      <c r="AC56">
        <v>10090009120</v>
      </c>
      <c r="AD56" s="13">
        <v>46173</v>
      </c>
      <c r="AE56" s="14" t="s">
        <v>48</v>
      </c>
      <c r="AF56" s="13">
        <v>46188</v>
      </c>
      <c r="AG56">
        <v>20260523</v>
      </c>
      <c r="AH56">
        <v>0</v>
      </c>
      <c r="AI56" s="15">
        <f t="shared" si="17"/>
        <v>357000</v>
      </c>
      <c r="AJ56" t="s">
        <v>240</v>
      </c>
    </row>
    <row r="57" spans="1:36">
      <c r="A57" t="s">
        <v>89</v>
      </c>
      <c r="B57" t="s">
        <v>36</v>
      </c>
      <c r="C57" t="s">
        <v>89</v>
      </c>
      <c r="D57" t="s">
        <v>173</v>
      </c>
      <c r="E57" s="18" t="s">
        <v>38</v>
      </c>
      <c r="F57" s="18" t="s">
        <v>235</v>
      </c>
      <c r="G57" t="s">
        <v>236</v>
      </c>
      <c r="H57" t="s">
        <v>176</v>
      </c>
      <c r="I57" s="8">
        <v>35000</v>
      </c>
      <c r="J57" s="8">
        <v>10</v>
      </c>
      <c r="K57" s="8"/>
      <c r="L57" s="8">
        <f t="shared" si="19"/>
        <v>10</v>
      </c>
      <c r="M57" s="9">
        <f t="shared" si="20"/>
        <v>350000</v>
      </c>
      <c r="N57" t="s">
        <v>236</v>
      </c>
      <c r="O57" t="s">
        <v>238</v>
      </c>
      <c r="P57" t="s">
        <v>77</v>
      </c>
      <c r="Q57" t="str">
        <f t="shared" si="13"/>
        <v>NETO</v>
      </c>
      <c r="R57" t="str">
        <f t="shared" si="14"/>
        <v>IMPUESTO</v>
      </c>
      <c r="S57" t="str">
        <f t="shared" si="12"/>
        <v>TOTAL</v>
      </c>
      <c r="T57" s="10">
        <f t="shared" si="21"/>
        <v>350000</v>
      </c>
      <c r="U57" s="11">
        <f t="shared" si="24"/>
        <v>0.19</v>
      </c>
      <c r="V57" s="12">
        <f t="shared" si="22"/>
        <v>66500</v>
      </c>
      <c r="W57" s="10">
        <f t="shared" si="23"/>
        <v>416500</v>
      </c>
      <c r="X57" s="10" t="s">
        <v>44</v>
      </c>
      <c r="Y57" t="s">
        <v>236</v>
      </c>
      <c r="Z57" t="s">
        <v>239</v>
      </c>
      <c r="AA57" t="s">
        <v>46</v>
      </c>
      <c r="AB57" t="s">
        <v>105</v>
      </c>
      <c r="AC57">
        <v>10090009120</v>
      </c>
      <c r="AD57" s="13">
        <v>46173</v>
      </c>
      <c r="AE57" s="14" t="s">
        <v>48</v>
      </c>
      <c r="AF57" s="13">
        <v>46188</v>
      </c>
      <c r="AG57">
        <v>20260523</v>
      </c>
      <c r="AH57">
        <v>0</v>
      </c>
      <c r="AI57" s="15">
        <f t="shared" si="17"/>
        <v>416500</v>
      </c>
      <c r="AJ57" t="s">
        <v>240</v>
      </c>
    </row>
    <row r="58" spans="1:36">
      <c r="A58" t="s">
        <v>89</v>
      </c>
      <c r="B58" t="s">
        <v>36</v>
      </c>
      <c r="C58" t="s">
        <v>89</v>
      </c>
      <c r="D58" t="s">
        <v>243</v>
      </c>
      <c r="E58" s="18" t="s">
        <v>38</v>
      </c>
      <c r="F58" s="18" t="s">
        <v>235</v>
      </c>
      <c r="G58" t="s">
        <v>236</v>
      </c>
      <c r="H58" t="s">
        <v>41</v>
      </c>
      <c r="I58" s="8">
        <v>20000</v>
      </c>
      <c r="J58" s="8">
        <v>10</v>
      </c>
      <c r="K58" s="8"/>
      <c r="L58" s="8">
        <f t="shared" si="19"/>
        <v>10</v>
      </c>
      <c r="M58" s="9">
        <f t="shared" si="20"/>
        <v>200000</v>
      </c>
      <c r="N58" t="s">
        <v>236</v>
      </c>
      <c r="O58" t="s">
        <v>238</v>
      </c>
      <c r="P58" t="s">
        <v>77</v>
      </c>
      <c r="Q58" t="str">
        <f t="shared" si="13"/>
        <v>NETO</v>
      </c>
      <c r="R58" t="str">
        <f t="shared" si="14"/>
        <v>IMPUESTO</v>
      </c>
      <c r="S58" t="str">
        <f t="shared" si="12"/>
        <v>TOTAL</v>
      </c>
      <c r="T58" s="10">
        <f t="shared" si="21"/>
        <v>200000</v>
      </c>
      <c r="U58" s="11">
        <f t="shared" si="24"/>
        <v>0.19</v>
      </c>
      <c r="V58" s="12">
        <f t="shared" si="22"/>
        <v>38000</v>
      </c>
      <c r="W58" s="10">
        <f t="shared" si="23"/>
        <v>238000</v>
      </c>
      <c r="X58" s="10" t="s">
        <v>44</v>
      </c>
      <c r="Y58" t="s">
        <v>236</v>
      </c>
      <c r="Z58" t="s">
        <v>239</v>
      </c>
      <c r="AA58" t="s">
        <v>46</v>
      </c>
      <c r="AB58" t="s">
        <v>105</v>
      </c>
      <c r="AC58">
        <v>10090009120</v>
      </c>
      <c r="AD58" s="13">
        <v>46173</v>
      </c>
      <c r="AE58" s="14" t="s">
        <v>48</v>
      </c>
      <c r="AF58" s="13">
        <v>46188</v>
      </c>
      <c r="AG58">
        <v>20260523</v>
      </c>
      <c r="AH58">
        <v>0</v>
      </c>
      <c r="AI58" s="15">
        <f t="shared" si="17"/>
        <v>238000</v>
      </c>
      <c r="AJ58" t="s">
        <v>240</v>
      </c>
    </row>
    <row r="59" spans="1:36">
      <c r="A59" t="s">
        <v>89</v>
      </c>
      <c r="B59" t="s">
        <v>36</v>
      </c>
      <c r="C59" t="s">
        <v>89</v>
      </c>
      <c r="D59" t="s">
        <v>244</v>
      </c>
      <c r="E59" s="18" t="s">
        <v>38</v>
      </c>
      <c r="F59" s="18" t="s">
        <v>235</v>
      </c>
      <c r="G59" t="s">
        <v>236</v>
      </c>
      <c r="H59" t="s">
        <v>41</v>
      </c>
      <c r="I59" s="8">
        <v>50000</v>
      </c>
      <c r="J59" s="8">
        <v>10</v>
      </c>
      <c r="K59" s="8"/>
      <c r="L59" s="8">
        <f t="shared" si="19"/>
        <v>10</v>
      </c>
      <c r="M59" s="9">
        <f t="shared" si="20"/>
        <v>500000</v>
      </c>
      <c r="N59" t="s">
        <v>236</v>
      </c>
      <c r="O59" t="s">
        <v>238</v>
      </c>
      <c r="P59" t="s">
        <v>77</v>
      </c>
      <c r="Q59" t="str">
        <f t="shared" si="13"/>
        <v>NETO</v>
      </c>
      <c r="R59" t="str">
        <f t="shared" si="14"/>
        <v>IMPUESTO</v>
      </c>
      <c r="S59" t="str">
        <f t="shared" si="12"/>
        <v>TOTAL</v>
      </c>
      <c r="T59" s="10">
        <f t="shared" si="21"/>
        <v>500000</v>
      </c>
      <c r="U59" s="11">
        <f t="shared" si="24"/>
        <v>0.19</v>
      </c>
      <c r="V59" s="12">
        <f t="shared" si="22"/>
        <v>95000</v>
      </c>
      <c r="W59" s="10">
        <f t="shared" si="23"/>
        <v>595000</v>
      </c>
      <c r="X59" s="10" t="s">
        <v>44</v>
      </c>
      <c r="Y59" t="s">
        <v>236</v>
      </c>
      <c r="Z59" t="s">
        <v>239</v>
      </c>
      <c r="AA59" t="s">
        <v>46</v>
      </c>
      <c r="AB59" t="s">
        <v>105</v>
      </c>
      <c r="AC59">
        <v>10090009120</v>
      </c>
      <c r="AD59" s="13">
        <v>46173</v>
      </c>
      <c r="AE59" s="14" t="s">
        <v>48</v>
      </c>
      <c r="AF59" s="13">
        <v>46188</v>
      </c>
      <c r="AG59">
        <v>20260523</v>
      </c>
      <c r="AH59">
        <v>0</v>
      </c>
      <c r="AI59" s="15">
        <f t="shared" si="17"/>
        <v>595000</v>
      </c>
      <c r="AJ59" t="s">
        <v>240</v>
      </c>
    </row>
    <row r="60" spans="1:36">
      <c r="A60" t="s">
        <v>89</v>
      </c>
      <c r="B60" t="s">
        <v>36</v>
      </c>
      <c r="C60" t="s">
        <v>89</v>
      </c>
      <c r="D60" t="s">
        <v>245</v>
      </c>
      <c r="E60" s="18" t="s">
        <v>38</v>
      </c>
      <c r="F60" s="18" t="s">
        <v>235</v>
      </c>
      <c r="G60" t="s">
        <v>236</v>
      </c>
      <c r="H60" t="s">
        <v>41</v>
      </c>
      <c r="I60" s="8">
        <v>14000</v>
      </c>
      <c r="J60" s="8">
        <v>10</v>
      </c>
      <c r="K60" s="8"/>
      <c r="L60" s="8">
        <f>+J60-K60</f>
        <v>10</v>
      </c>
      <c r="M60" s="9">
        <f>+I60*L60</f>
        <v>140000</v>
      </c>
      <c r="N60" t="s">
        <v>236</v>
      </c>
      <c r="O60" t="s">
        <v>238</v>
      </c>
      <c r="P60" t="s">
        <v>77</v>
      </c>
      <c r="Q60" t="str">
        <f>+IF(P60="FACTURA","NETO",IF(P60="BOLETA","BRUTO","TOTAL"))</f>
        <v>NETO</v>
      </c>
      <c r="R60" t="str">
        <f>+IF(Q60="BRUTO","RETENCION","IMPUESTO")</f>
        <v>IMPUESTO</v>
      </c>
      <c r="S60" t="str">
        <f>+IF(Q60="BRUTO","LIQUIDO A PAGAR","TOTAL")</f>
        <v>TOTAL</v>
      </c>
      <c r="T60" s="10">
        <f>+M60</f>
        <v>140000</v>
      </c>
      <c r="U60" s="11">
        <f>+IF(P60="TRATO",0,IF(P60="BOLETA",13%,19%))</f>
        <v>0.19</v>
      </c>
      <c r="V60" s="12">
        <f>+T60*U60</f>
        <v>26600</v>
      </c>
      <c r="W60" s="10">
        <f>+IF(P60="BOLETA",INT(T60-V60),IF(P60="FACTURA EXENTA",INT(T60),INT(T60+V60)))</f>
        <v>166600</v>
      </c>
      <c r="X60" s="10" t="s">
        <v>44</v>
      </c>
      <c r="Y60" t="s">
        <v>236</v>
      </c>
      <c r="Z60" t="s">
        <v>239</v>
      </c>
      <c r="AA60" t="s">
        <v>46</v>
      </c>
      <c r="AB60" t="s">
        <v>105</v>
      </c>
      <c r="AC60">
        <v>10090009120</v>
      </c>
      <c r="AD60" s="13">
        <v>46173</v>
      </c>
      <c r="AE60" s="14" t="s">
        <v>48</v>
      </c>
      <c r="AF60" s="13">
        <v>46188</v>
      </c>
      <c r="AG60">
        <v>20260523</v>
      </c>
      <c r="AH60">
        <v>0</v>
      </c>
      <c r="AI60" s="15">
        <f t="shared" si="17"/>
        <v>166600</v>
      </c>
      <c r="AJ60" t="s">
        <v>240</v>
      </c>
    </row>
    <row r="61" spans="1:36">
      <c r="A61" t="s">
        <v>89</v>
      </c>
      <c r="B61" t="s">
        <v>130</v>
      </c>
      <c r="C61" t="s">
        <v>89</v>
      </c>
      <c r="D61" t="s">
        <v>130</v>
      </c>
      <c r="E61" s="18" t="s">
        <v>131</v>
      </c>
      <c r="F61" s="18" t="s">
        <v>235</v>
      </c>
      <c r="G61" t="s">
        <v>236</v>
      </c>
      <c r="H61" t="s">
        <v>130</v>
      </c>
      <c r="I61" s="8">
        <v>2500</v>
      </c>
      <c r="J61" s="8">
        <v>30</v>
      </c>
      <c r="K61" s="8"/>
      <c r="L61" s="8">
        <f>+J61-K61</f>
        <v>30</v>
      </c>
      <c r="M61" s="9">
        <f>+I61*L61</f>
        <v>75000</v>
      </c>
      <c r="N61" t="s">
        <v>236</v>
      </c>
      <c r="O61" t="s">
        <v>238</v>
      </c>
      <c r="P61" t="s">
        <v>77</v>
      </c>
      <c r="Q61" t="str">
        <f>+IF(P61="FACTURA","NETO",IF(P61="BOLETA","BRUTO","TOTAL"))</f>
        <v>NETO</v>
      </c>
      <c r="R61" t="str">
        <f>+IF(Q61="BRUTO","RETENCION","IMPUESTO")</f>
        <v>IMPUESTO</v>
      </c>
      <c r="S61" t="str">
        <f>+IF(Q61="BRUTO","LIQUIDO A PAGAR","TOTAL")</f>
        <v>TOTAL</v>
      </c>
      <c r="T61" s="10">
        <f>+M61</f>
        <v>75000</v>
      </c>
      <c r="U61" s="11">
        <f>+IF(P61="TRATO",0,IF(P61="BOLETA",13%,19%))</f>
        <v>0.19</v>
      </c>
      <c r="V61" s="12">
        <f>+T61*U61</f>
        <v>14250</v>
      </c>
      <c r="W61" s="10">
        <f>+IF(P61="BOLETA",INT(T61-V61),IF(P61="FACTURA EXENTA",INT(T61),INT(T61+V61)))</f>
        <v>89250</v>
      </c>
      <c r="X61" s="10" t="s">
        <v>44</v>
      </c>
      <c r="Y61" t="s">
        <v>236</v>
      </c>
      <c r="Z61" t="s">
        <v>239</v>
      </c>
      <c r="AA61" t="s">
        <v>46</v>
      </c>
      <c r="AB61" t="s">
        <v>105</v>
      </c>
      <c r="AC61">
        <v>10090009120</v>
      </c>
      <c r="AD61" s="13">
        <v>46173</v>
      </c>
      <c r="AE61" s="14" t="s">
        <v>48</v>
      </c>
      <c r="AF61" s="13">
        <v>46188</v>
      </c>
      <c r="AG61">
        <v>20260523</v>
      </c>
      <c r="AH61">
        <v>0</v>
      </c>
      <c r="AI61" s="15">
        <f t="shared" si="17"/>
        <v>89250</v>
      </c>
      <c r="AJ61" t="s">
        <v>240</v>
      </c>
    </row>
    <row r="62" spans="1:36">
      <c r="A62" t="s">
        <v>89</v>
      </c>
      <c r="B62" t="s">
        <v>36</v>
      </c>
      <c r="C62" t="s">
        <v>89</v>
      </c>
      <c r="D62" t="s">
        <v>246</v>
      </c>
      <c r="E62" s="18" t="s">
        <v>38</v>
      </c>
      <c r="F62" s="18" t="s">
        <v>235</v>
      </c>
      <c r="G62" t="s">
        <v>242</v>
      </c>
      <c r="H62" t="s">
        <v>41</v>
      </c>
      <c r="I62" s="8">
        <v>10000</v>
      </c>
      <c r="J62" s="8">
        <v>10</v>
      </c>
      <c r="K62" s="8"/>
      <c r="L62" s="8">
        <f t="shared" si="19"/>
        <v>10</v>
      </c>
      <c r="M62" s="9">
        <f t="shared" si="20"/>
        <v>100000</v>
      </c>
      <c r="N62" t="s">
        <v>236</v>
      </c>
      <c r="O62" t="s">
        <v>238</v>
      </c>
      <c r="P62" t="s">
        <v>77</v>
      </c>
      <c r="Q62" t="str">
        <f t="shared" si="13"/>
        <v>NETO</v>
      </c>
      <c r="R62" t="str">
        <f t="shared" si="14"/>
        <v>IMPUESTO</v>
      </c>
      <c r="S62" t="str">
        <f t="shared" ref="S62:S108" si="25">+IF(Q62="BRUTO","LIQUIDO A PAGAR","TOTAL")</f>
        <v>TOTAL</v>
      </c>
      <c r="T62" s="10">
        <f t="shared" si="21"/>
        <v>100000</v>
      </c>
      <c r="U62" s="11">
        <f t="shared" si="24"/>
        <v>0.19</v>
      </c>
      <c r="V62" s="12">
        <f t="shared" si="22"/>
        <v>19000</v>
      </c>
      <c r="W62" s="10">
        <f t="shared" si="23"/>
        <v>119000</v>
      </c>
      <c r="X62" s="10" t="s">
        <v>44</v>
      </c>
      <c r="Y62" t="s">
        <v>236</v>
      </c>
      <c r="Z62" t="s">
        <v>239</v>
      </c>
      <c r="AA62" t="s">
        <v>46</v>
      </c>
      <c r="AB62" t="s">
        <v>105</v>
      </c>
      <c r="AC62">
        <v>10090009120</v>
      </c>
      <c r="AD62" s="13">
        <v>46173</v>
      </c>
      <c r="AE62" s="14" t="s">
        <v>48</v>
      </c>
      <c r="AF62" s="13">
        <v>46188</v>
      </c>
      <c r="AG62">
        <v>20260523</v>
      </c>
      <c r="AH62">
        <v>0</v>
      </c>
      <c r="AI62" s="15">
        <f t="shared" si="17"/>
        <v>119000</v>
      </c>
      <c r="AJ62" t="s">
        <v>240</v>
      </c>
    </row>
    <row r="63" spans="1:36">
      <c r="A63" t="s">
        <v>61</v>
      </c>
      <c r="B63" t="s">
        <v>36</v>
      </c>
      <c r="C63" t="s">
        <v>61</v>
      </c>
      <c r="D63" t="s">
        <v>247</v>
      </c>
      <c r="E63" s="18" t="s">
        <v>38</v>
      </c>
      <c r="F63" s="18" t="s">
        <v>248</v>
      </c>
      <c r="G63" t="s">
        <v>249</v>
      </c>
      <c r="H63" t="s">
        <v>41</v>
      </c>
      <c r="I63" s="8">
        <v>35000</v>
      </c>
      <c r="J63" s="8">
        <v>10</v>
      </c>
      <c r="K63" s="8"/>
      <c r="L63" s="8">
        <f t="shared" si="19"/>
        <v>10</v>
      </c>
      <c r="M63" s="9">
        <f t="shared" si="20"/>
        <v>350000</v>
      </c>
      <c r="N63" t="s">
        <v>249</v>
      </c>
      <c r="O63" t="s">
        <v>250</v>
      </c>
      <c r="P63" t="s">
        <v>43</v>
      </c>
      <c r="Q63" t="str">
        <f t="shared" si="13"/>
        <v>BRUTO</v>
      </c>
      <c r="R63" t="str">
        <f t="shared" si="14"/>
        <v>RETENCION</v>
      </c>
      <c r="S63" t="str">
        <f t="shared" si="25"/>
        <v>LIQUIDO A PAGAR</v>
      </c>
      <c r="T63" s="10">
        <f t="shared" si="21"/>
        <v>350000</v>
      </c>
      <c r="U63" s="11">
        <v>0.1525</v>
      </c>
      <c r="V63" s="12">
        <f t="shared" si="22"/>
        <v>53375</v>
      </c>
      <c r="W63" s="10">
        <f t="shared" si="23"/>
        <v>296625</v>
      </c>
      <c r="X63" s="10" t="s">
        <v>44</v>
      </c>
      <c r="Y63" t="s">
        <v>249</v>
      </c>
      <c r="Z63" t="s">
        <v>251</v>
      </c>
      <c r="AA63" t="s">
        <v>46</v>
      </c>
      <c r="AB63" t="s">
        <v>47</v>
      </c>
      <c r="AC63">
        <v>10060536918</v>
      </c>
      <c r="AD63" s="13">
        <v>46173</v>
      </c>
      <c r="AE63" s="14" t="s">
        <v>48</v>
      </c>
      <c r="AF63" s="13">
        <v>46188</v>
      </c>
      <c r="AG63">
        <v>20260524</v>
      </c>
      <c r="AH63">
        <v>0</v>
      </c>
      <c r="AI63" s="15">
        <f t="shared" si="17"/>
        <v>296625</v>
      </c>
      <c r="AJ63" t="s">
        <v>252</v>
      </c>
    </row>
    <row r="64" spans="1:36">
      <c r="A64" t="s">
        <v>61</v>
      </c>
      <c r="B64" t="s">
        <v>36</v>
      </c>
      <c r="C64" t="s">
        <v>61</v>
      </c>
      <c r="D64" t="s">
        <v>253</v>
      </c>
      <c r="E64" s="18" t="s">
        <v>38</v>
      </c>
      <c r="F64" s="18" t="s">
        <v>248</v>
      </c>
      <c r="G64" t="s">
        <v>249</v>
      </c>
      <c r="H64" t="s">
        <v>41</v>
      </c>
      <c r="I64" s="8">
        <v>25000</v>
      </c>
      <c r="J64" s="8">
        <v>10</v>
      </c>
      <c r="K64" s="8"/>
      <c r="L64" s="8">
        <f t="shared" si="19"/>
        <v>10</v>
      </c>
      <c r="M64" s="9">
        <f t="shared" si="20"/>
        <v>250000</v>
      </c>
      <c r="N64" t="s">
        <v>249</v>
      </c>
      <c r="O64" t="s">
        <v>250</v>
      </c>
      <c r="P64" t="s">
        <v>43</v>
      </c>
      <c r="Q64" t="str">
        <f t="shared" si="13"/>
        <v>BRUTO</v>
      </c>
      <c r="R64" t="str">
        <f t="shared" si="14"/>
        <v>RETENCION</v>
      </c>
      <c r="S64" t="str">
        <f t="shared" si="25"/>
        <v>LIQUIDO A PAGAR</v>
      </c>
      <c r="T64" s="10">
        <f t="shared" si="21"/>
        <v>250000</v>
      </c>
      <c r="U64" s="11">
        <v>0.1525</v>
      </c>
      <c r="V64" s="12">
        <f t="shared" si="22"/>
        <v>38125</v>
      </c>
      <c r="W64" s="10">
        <f t="shared" si="23"/>
        <v>211875</v>
      </c>
      <c r="X64" s="10" t="s">
        <v>44</v>
      </c>
      <c r="Y64" t="s">
        <v>249</v>
      </c>
      <c r="Z64" t="s">
        <v>251</v>
      </c>
      <c r="AA64" t="s">
        <v>46</v>
      </c>
      <c r="AB64" t="s">
        <v>47</v>
      </c>
      <c r="AC64">
        <v>10060536918</v>
      </c>
      <c r="AD64" s="13">
        <v>46173</v>
      </c>
      <c r="AE64" s="14" t="s">
        <v>48</v>
      </c>
      <c r="AF64" s="13">
        <v>46188</v>
      </c>
      <c r="AG64">
        <v>20260524</v>
      </c>
      <c r="AH64">
        <v>0</v>
      </c>
      <c r="AI64" s="15">
        <f t="shared" si="17"/>
        <v>211875</v>
      </c>
      <c r="AJ64" t="s">
        <v>252</v>
      </c>
    </row>
    <row r="65" spans="1:36">
      <c r="A65" t="s">
        <v>61</v>
      </c>
      <c r="B65" t="s">
        <v>36</v>
      </c>
      <c r="C65" t="s">
        <v>61</v>
      </c>
      <c r="D65" t="s">
        <v>254</v>
      </c>
      <c r="E65" s="18" t="s">
        <v>38</v>
      </c>
      <c r="F65" s="18" t="s">
        <v>248</v>
      </c>
      <c r="G65" t="s">
        <v>249</v>
      </c>
      <c r="H65" t="s">
        <v>41</v>
      </c>
      <c r="I65" s="8">
        <v>17500</v>
      </c>
      <c r="J65" s="8">
        <v>10</v>
      </c>
      <c r="K65" s="8"/>
      <c r="L65" s="8">
        <f t="shared" si="19"/>
        <v>10</v>
      </c>
      <c r="M65" s="9">
        <f t="shared" si="20"/>
        <v>175000</v>
      </c>
      <c r="N65" t="s">
        <v>249</v>
      </c>
      <c r="O65" t="s">
        <v>250</v>
      </c>
      <c r="P65" t="s">
        <v>43</v>
      </c>
      <c r="Q65" t="str">
        <f t="shared" si="13"/>
        <v>BRUTO</v>
      </c>
      <c r="R65" t="str">
        <f t="shared" si="14"/>
        <v>RETENCION</v>
      </c>
      <c r="S65" t="str">
        <f t="shared" si="25"/>
        <v>LIQUIDO A PAGAR</v>
      </c>
      <c r="T65" s="10">
        <f t="shared" si="21"/>
        <v>175000</v>
      </c>
      <c r="U65" s="11">
        <v>0.1525</v>
      </c>
      <c r="V65" s="12">
        <f t="shared" si="22"/>
        <v>26687.5</v>
      </c>
      <c r="W65" s="10">
        <f t="shared" si="23"/>
        <v>148312</v>
      </c>
      <c r="X65" s="10" t="s">
        <v>44</v>
      </c>
      <c r="Y65" t="s">
        <v>249</v>
      </c>
      <c r="Z65" t="s">
        <v>251</v>
      </c>
      <c r="AA65" t="s">
        <v>46</v>
      </c>
      <c r="AB65" t="s">
        <v>47</v>
      </c>
      <c r="AC65">
        <v>10060536918</v>
      </c>
      <c r="AD65" s="13">
        <v>46173</v>
      </c>
      <c r="AE65" s="14" t="s">
        <v>48</v>
      </c>
      <c r="AF65" s="13">
        <v>46188</v>
      </c>
      <c r="AG65">
        <v>20260524</v>
      </c>
      <c r="AH65">
        <v>0</v>
      </c>
      <c r="AI65" s="15">
        <f t="shared" si="17"/>
        <v>148312</v>
      </c>
      <c r="AJ65" t="s">
        <v>252</v>
      </c>
    </row>
    <row r="66" spans="1:36">
      <c r="A66" t="s">
        <v>61</v>
      </c>
      <c r="B66" t="s">
        <v>36</v>
      </c>
      <c r="C66" t="s">
        <v>61</v>
      </c>
      <c r="D66" t="s">
        <v>255</v>
      </c>
      <c r="E66" s="18" t="s">
        <v>38</v>
      </c>
      <c r="F66" s="18" t="s">
        <v>52</v>
      </c>
      <c r="G66" t="s">
        <v>256</v>
      </c>
      <c r="H66" t="s">
        <v>41</v>
      </c>
      <c r="I66" s="8">
        <v>54500</v>
      </c>
      <c r="J66" s="8">
        <v>10</v>
      </c>
      <c r="K66" s="8"/>
      <c r="L66" s="8">
        <f t="shared" si="19"/>
        <v>10</v>
      </c>
      <c r="M66" s="9">
        <f t="shared" si="20"/>
        <v>545000</v>
      </c>
      <c r="N66" t="s">
        <v>256</v>
      </c>
      <c r="O66" t="s">
        <v>257</v>
      </c>
      <c r="P66" t="s">
        <v>43</v>
      </c>
      <c r="Q66" t="str">
        <f t="shared" ref="Q66:Q107" si="26">+IF(P66="FACTURA","NETO",IF(P66="BOLETA","BRUTO","TOTAL"))</f>
        <v>BRUTO</v>
      </c>
      <c r="R66" t="str">
        <f t="shared" ref="R66:R107" si="27">+IF(Q66="BRUTO","RETENCION","IMPUESTO")</f>
        <v>RETENCION</v>
      </c>
      <c r="S66" t="str">
        <f t="shared" si="25"/>
        <v>LIQUIDO A PAGAR</v>
      </c>
      <c r="T66" s="10">
        <f t="shared" si="21"/>
        <v>545000</v>
      </c>
      <c r="U66" s="11">
        <v>0.1525</v>
      </c>
      <c r="V66" s="12">
        <f t="shared" si="22"/>
        <v>83112.5</v>
      </c>
      <c r="W66" s="10">
        <f t="shared" si="23"/>
        <v>461887</v>
      </c>
      <c r="X66" s="10" t="s">
        <v>44</v>
      </c>
      <c r="Y66" t="s">
        <v>256</v>
      </c>
      <c r="Z66" t="s">
        <v>258</v>
      </c>
      <c r="AA66" t="s">
        <v>114</v>
      </c>
      <c r="AB66" t="s">
        <v>47</v>
      </c>
      <c r="AC66">
        <v>4041876932</v>
      </c>
      <c r="AD66" s="13">
        <v>46173</v>
      </c>
      <c r="AE66" s="14" t="s">
        <v>48</v>
      </c>
      <c r="AF66" s="13">
        <v>46188</v>
      </c>
      <c r="AG66">
        <v>20260525</v>
      </c>
      <c r="AH66">
        <v>0</v>
      </c>
      <c r="AI66" s="15">
        <f t="shared" ref="AI66:AI97" si="28">+W66-AH66</f>
        <v>461887</v>
      </c>
      <c r="AJ66" t="s">
        <v>259</v>
      </c>
    </row>
    <row r="67" spans="1:36">
      <c r="A67" t="s">
        <v>35</v>
      </c>
      <c r="B67" t="s">
        <v>36</v>
      </c>
      <c r="C67" t="s">
        <v>35</v>
      </c>
      <c r="D67" t="s">
        <v>260</v>
      </c>
      <c r="E67" s="18" t="s">
        <v>38</v>
      </c>
      <c r="F67" s="18" t="s">
        <v>261</v>
      </c>
      <c r="G67" t="s">
        <v>262</v>
      </c>
      <c r="H67" t="s">
        <v>41</v>
      </c>
      <c r="I67" s="8">
        <v>20000</v>
      </c>
      <c r="J67" s="8">
        <v>10</v>
      </c>
      <c r="K67" s="8"/>
      <c r="L67" s="8">
        <f t="shared" si="19"/>
        <v>10</v>
      </c>
      <c r="M67" s="9">
        <f t="shared" si="20"/>
        <v>200000</v>
      </c>
      <c r="N67" t="s">
        <v>263</v>
      </c>
      <c r="O67" t="s">
        <v>264</v>
      </c>
      <c r="P67" t="s">
        <v>77</v>
      </c>
      <c r="Q67" t="str">
        <f t="shared" si="26"/>
        <v>NETO</v>
      </c>
      <c r="R67" t="str">
        <f t="shared" si="27"/>
        <v>IMPUESTO</v>
      </c>
      <c r="S67" t="str">
        <f t="shared" si="25"/>
        <v>TOTAL</v>
      </c>
      <c r="T67" s="10">
        <f t="shared" si="21"/>
        <v>200000</v>
      </c>
      <c r="U67" s="11">
        <f t="shared" ref="U67:U71" si="29">+IF(P67="TRATO",0,IF(P67="BOLETA",13%,19%))</f>
        <v>0.19</v>
      </c>
      <c r="V67" s="12">
        <f t="shared" si="22"/>
        <v>38000</v>
      </c>
      <c r="W67" s="10">
        <f t="shared" si="23"/>
        <v>238000</v>
      </c>
      <c r="X67" s="10" t="s">
        <v>44</v>
      </c>
      <c r="Y67" t="s">
        <v>263</v>
      </c>
      <c r="Z67" t="s">
        <v>265</v>
      </c>
      <c r="AA67" t="s">
        <v>68</v>
      </c>
      <c r="AB67" t="s">
        <v>105</v>
      </c>
      <c r="AC67">
        <v>27000023961</v>
      </c>
      <c r="AD67" s="13">
        <v>46173</v>
      </c>
      <c r="AE67" s="14" t="s">
        <v>48</v>
      </c>
      <c r="AF67" s="13">
        <v>46188</v>
      </c>
      <c r="AG67">
        <v>20260526</v>
      </c>
      <c r="AH67">
        <v>0</v>
      </c>
      <c r="AI67" s="15">
        <f t="shared" si="28"/>
        <v>238000</v>
      </c>
      <c r="AJ67" t="s">
        <v>266</v>
      </c>
    </row>
    <row r="68" spans="1:36">
      <c r="A68" t="s">
        <v>35</v>
      </c>
      <c r="B68" t="s">
        <v>36</v>
      </c>
      <c r="C68" t="s">
        <v>35</v>
      </c>
      <c r="D68" t="s">
        <v>267</v>
      </c>
      <c r="E68" s="18" t="s">
        <v>38</v>
      </c>
      <c r="F68" s="18" t="s">
        <v>261</v>
      </c>
      <c r="G68" t="s">
        <v>268</v>
      </c>
      <c r="H68" t="s">
        <v>41</v>
      </c>
      <c r="I68" s="8">
        <v>15500</v>
      </c>
      <c r="J68" s="8">
        <v>10</v>
      </c>
      <c r="K68" s="8"/>
      <c r="L68" s="8">
        <f t="shared" si="19"/>
        <v>10</v>
      </c>
      <c r="M68" s="9">
        <f t="shared" si="20"/>
        <v>155000</v>
      </c>
      <c r="N68" t="s">
        <v>263</v>
      </c>
      <c r="O68" t="s">
        <v>264</v>
      </c>
      <c r="P68" t="s">
        <v>77</v>
      </c>
      <c r="Q68" t="str">
        <f t="shared" si="26"/>
        <v>NETO</v>
      </c>
      <c r="R68" t="str">
        <f t="shared" si="27"/>
        <v>IMPUESTO</v>
      </c>
      <c r="S68" t="str">
        <f t="shared" si="25"/>
        <v>TOTAL</v>
      </c>
      <c r="T68" s="10">
        <f t="shared" si="21"/>
        <v>155000</v>
      </c>
      <c r="U68" s="11">
        <f t="shared" si="29"/>
        <v>0.19</v>
      </c>
      <c r="V68" s="12">
        <f t="shared" si="22"/>
        <v>29450</v>
      </c>
      <c r="W68" s="10">
        <f t="shared" si="23"/>
        <v>184450</v>
      </c>
      <c r="X68" s="10" t="s">
        <v>44</v>
      </c>
      <c r="Y68" t="s">
        <v>263</v>
      </c>
      <c r="Z68" t="s">
        <v>265</v>
      </c>
      <c r="AA68" t="s">
        <v>68</v>
      </c>
      <c r="AB68" t="s">
        <v>105</v>
      </c>
      <c r="AC68">
        <v>27000023961</v>
      </c>
      <c r="AD68" s="13">
        <v>46173</v>
      </c>
      <c r="AE68" s="14" t="s">
        <v>48</v>
      </c>
      <c r="AF68" s="13">
        <v>46188</v>
      </c>
      <c r="AG68">
        <v>20260526</v>
      </c>
      <c r="AH68">
        <v>0</v>
      </c>
      <c r="AI68" s="15">
        <f t="shared" si="28"/>
        <v>184450</v>
      </c>
      <c r="AJ68" t="s">
        <v>266</v>
      </c>
    </row>
    <row r="69" spans="1:36">
      <c r="A69" t="s">
        <v>35</v>
      </c>
      <c r="B69" t="s">
        <v>36</v>
      </c>
      <c r="C69" t="s">
        <v>35</v>
      </c>
      <c r="D69" t="s">
        <v>269</v>
      </c>
      <c r="E69" s="18" t="s">
        <v>38</v>
      </c>
      <c r="F69" s="18" t="s">
        <v>261</v>
      </c>
      <c r="G69" t="s">
        <v>268</v>
      </c>
      <c r="H69" t="s">
        <v>41</v>
      </c>
      <c r="I69" s="8">
        <v>15500</v>
      </c>
      <c r="J69" s="8">
        <v>10</v>
      </c>
      <c r="K69" s="8"/>
      <c r="L69" s="8">
        <f t="shared" si="19"/>
        <v>10</v>
      </c>
      <c r="M69" s="9">
        <f t="shared" si="20"/>
        <v>155000</v>
      </c>
      <c r="N69" t="s">
        <v>263</v>
      </c>
      <c r="O69" t="s">
        <v>264</v>
      </c>
      <c r="P69" t="s">
        <v>77</v>
      </c>
      <c r="Q69" t="str">
        <f t="shared" si="26"/>
        <v>NETO</v>
      </c>
      <c r="R69" t="str">
        <f t="shared" si="27"/>
        <v>IMPUESTO</v>
      </c>
      <c r="S69" t="str">
        <f t="shared" si="25"/>
        <v>TOTAL</v>
      </c>
      <c r="T69" s="10">
        <f t="shared" si="21"/>
        <v>155000</v>
      </c>
      <c r="U69" s="11">
        <f t="shared" si="29"/>
        <v>0.19</v>
      </c>
      <c r="V69" s="12">
        <f t="shared" si="22"/>
        <v>29450</v>
      </c>
      <c r="W69" s="10">
        <f t="shared" si="23"/>
        <v>184450</v>
      </c>
      <c r="X69" s="10" t="s">
        <v>44</v>
      </c>
      <c r="Y69" t="s">
        <v>263</v>
      </c>
      <c r="Z69" t="s">
        <v>265</v>
      </c>
      <c r="AA69" t="s">
        <v>68</v>
      </c>
      <c r="AB69" t="s">
        <v>105</v>
      </c>
      <c r="AC69">
        <v>27000023961</v>
      </c>
      <c r="AD69" s="13">
        <v>46173</v>
      </c>
      <c r="AE69" s="14" t="s">
        <v>48</v>
      </c>
      <c r="AF69" s="13">
        <v>46188</v>
      </c>
      <c r="AG69">
        <v>20260526</v>
      </c>
      <c r="AH69">
        <v>0</v>
      </c>
      <c r="AI69" s="15">
        <f t="shared" si="28"/>
        <v>184450</v>
      </c>
      <c r="AJ69" t="s">
        <v>266</v>
      </c>
    </row>
    <row r="70" spans="1:36">
      <c r="A70" t="s">
        <v>89</v>
      </c>
      <c r="B70" t="s">
        <v>36</v>
      </c>
      <c r="C70" t="s">
        <v>89</v>
      </c>
      <c r="D70" t="s">
        <v>270</v>
      </c>
      <c r="E70" s="18" t="s">
        <v>38</v>
      </c>
      <c r="F70" s="18" t="s">
        <v>271</v>
      </c>
      <c r="G70" t="s">
        <v>272</v>
      </c>
      <c r="H70" t="s">
        <v>41</v>
      </c>
      <c r="I70" s="8">
        <v>25000</v>
      </c>
      <c r="J70" s="8">
        <v>10</v>
      </c>
      <c r="K70" s="8">
        <v>0</v>
      </c>
      <c r="L70" s="8">
        <f t="shared" si="19"/>
        <v>10</v>
      </c>
      <c r="M70" s="9">
        <f t="shared" si="20"/>
        <v>250000</v>
      </c>
      <c r="N70" t="s">
        <v>272</v>
      </c>
      <c r="O70" t="s">
        <v>273</v>
      </c>
      <c r="P70" t="s">
        <v>77</v>
      </c>
      <c r="Q70" t="str">
        <f t="shared" si="26"/>
        <v>NETO</v>
      </c>
      <c r="R70" t="str">
        <f t="shared" si="27"/>
        <v>IMPUESTO</v>
      </c>
      <c r="S70" t="str">
        <f t="shared" si="25"/>
        <v>TOTAL</v>
      </c>
      <c r="T70" s="10">
        <f t="shared" si="21"/>
        <v>250000</v>
      </c>
      <c r="U70" s="11">
        <f t="shared" si="29"/>
        <v>0.19</v>
      </c>
      <c r="V70" s="12">
        <f t="shared" si="22"/>
        <v>47500</v>
      </c>
      <c r="W70" s="10">
        <f t="shared" si="23"/>
        <v>297500</v>
      </c>
      <c r="X70" s="10" t="s">
        <v>44</v>
      </c>
      <c r="Y70" t="s">
        <v>272</v>
      </c>
      <c r="Z70" t="s">
        <v>274</v>
      </c>
      <c r="AA70" t="s">
        <v>68</v>
      </c>
      <c r="AB70" t="s">
        <v>47</v>
      </c>
      <c r="AC70">
        <v>13145951</v>
      </c>
      <c r="AD70" s="13">
        <v>46173</v>
      </c>
      <c r="AE70" s="14" t="s">
        <v>48</v>
      </c>
      <c r="AF70" s="13">
        <v>46188</v>
      </c>
      <c r="AG70">
        <v>20260527</v>
      </c>
      <c r="AH70">
        <v>0</v>
      </c>
      <c r="AI70" s="15">
        <f t="shared" si="28"/>
        <v>297500</v>
      </c>
      <c r="AJ70" t="s">
        <v>275</v>
      </c>
    </row>
    <row r="71" spans="1:36">
      <c r="A71" t="s">
        <v>89</v>
      </c>
      <c r="B71" t="s">
        <v>36</v>
      </c>
      <c r="C71" t="s">
        <v>89</v>
      </c>
      <c r="D71" t="s">
        <v>276</v>
      </c>
      <c r="E71" s="18" t="s">
        <v>38</v>
      </c>
      <c r="F71" s="18" t="s">
        <v>271</v>
      </c>
      <c r="G71" t="s">
        <v>272</v>
      </c>
      <c r="H71" t="s">
        <v>41</v>
      </c>
      <c r="I71" s="8">
        <v>25000</v>
      </c>
      <c r="J71" s="8">
        <v>10</v>
      </c>
      <c r="K71" s="8">
        <v>0</v>
      </c>
      <c r="L71" s="8">
        <f t="shared" si="19"/>
        <v>10</v>
      </c>
      <c r="M71" s="9">
        <f t="shared" si="20"/>
        <v>250000</v>
      </c>
      <c r="N71" t="s">
        <v>272</v>
      </c>
      <c r="O71" t="s">
        <v>273</v>
      </c>
      <c r="P71" t="s">
        <v>77</v>
      </c>
      <c r="Q71" t="str">
        <f t="shared" si="26"/>
        <v>NETO</v>
      </c>
      <c r="R71" t="str">
        <f t="shared" si="27"/>
        <v>IMPUESTO</v>
      </c>
      <c r="S71" t="str">
        <f t="shared" si="25"/>
        <v>TOTAL</v>
      </c>
      <c r="T71" s="10">
        <f t="shared" si="21"/>
        <v>250000</v>
      </c>
      <c r="U71" s="11">
        <f t="shared" si="29"/>
        <v>0.19</v>
      </c>
      <c r="V71" s="12">
        <f t="shared" si="22"/>
        <v>47500</v>
      </c>
      <c r="W71" s="10">
        <f t="shared" si="23"/>
        <v>297500</v>
      </c>
      <c r="X71" s="10" t="s">
        <v>44</v>
      </c>
      <c r="Y71" t="s">
        <v>272</v>
      </c>
      <c r="Z71" t="s">
        <v>274</v>
      </c>
      <c r="AA71" t="s">
        <v>68</v>
      </c>
      <c r="AB71" t="s">
        <v>47</v>
      </c>
      <c r="AC71">
        <v>13145951</v>
      </c>
      <c r="AD71" s="13">
        <v>46173</v>
      </c>
      <c r="AE71" s="14" t="s">
        <v>48</v>
      </c>
      <c r="AF71" s="13">
        <v>46188</v>
      </c>
      <c r="AG71">
        <v>20260527</v>
      </c>
      <c r="AH71">
        <v>0</v>
      </c>
      <c r="AI71" s="15">
        <f t="shared" si="28"/>
        <v>297500</v>
      </c>
      <c r="AJ71" t="s">
        <v>275</v>
      </c>
    </row>
    <row r="72" spans="1:36">
      <c r="A72" t="s">
        <v>35</v>
      </c>
      <c r="B72" t="s">
        <v>36</v>
      </c>
      <c r="C72" t="s">
        <v>35</v>
      </c>
      <c r="D72" t="s">
        <v>277</v>
      </c>
      <c r="E72" s="18" t="s">
        <v>38</v>
      </c>
      <c r="F72" s="18" t="s">
        <v>278</v>
      </c>
      <c r="G72" t="s">
        <v>279</v>
      </c>
      <c r="H72" t="s">
        <v>41</v>
      </c>
      <c r="I72" s="8">
        <v>55000</v>
      </c>
      <c r="J72" s="8">
        <v>10</v>
      </c>
      <c r="K72" s="8"/>
      <c r="L72" s="8">
        <f t="shared" si="19"/>
        <v>10</v>
      </c>
      <c r="M72" s="9">
        <f t="shared" si="20"/>
        <v>550000</v>
      </c>
      <c r="N72" t="s">
        <v>279</v>
      </c>
      <c r="O72" t="s">
        <v>280</v>
      </c>
      <c r="P72" t="s">
        <v>77</v>
      </c>
      <c r="Q72" t="str">
        <f t="shared" si="26"/>
        <v>NETO</v>
      </c>
      <c r="R72" t="str">
        <f t="shared" si="27"/>
        <v>IMPUESTO</v>
      </c>
      <c r="S72" t="str">
        <f t="shared" si="25"/>
        <v>TOTAL</v>
      </c>
      <c r="T72" s="10">
        <f t="shared" si="21"/>
        <v>550000</v>
      </c>
      <c r="U72" s="11">
        <f>+IF(P72="TRATO",0,IF(P72="BOLETA",14.5%,19%))</f>
        <v>0.19</v>
      </c>
      <c r="V72" s="12">
        <f t="shared" si="22"/>
        <v>104500</v>
      </c>
      <c r="W72" s="10">
        <f t="shared" si="23"/>
        <v>654500</v>
      </c>
      <c r="X72" s="10" t="s">
        <v>44</v>
      </c>
      <c r="Y72" t="s">
        <v>279</v>
      </c>
      <c r="Z72" t="s">
        <v>281</v>
      </c>
      <c r="AA72" t="s">
        <v>210</v>
      </c>
      <c r="AB72" t="s">
        <v>47</v>
      </c>
      <c r="AC72">
        <v>190134555</v>
      </c>
      <c r="AD72" s="13">
        <v>46173</v>
      </c>
      <c r="AE72" s="14" t="s">
        <v>48</v>
      </c>
      <c r="AF72" s="13">
        <v>46188</v>
      </c>
      <c r="AG72">
        <v>20260528</v>
      </c>
      <c r="AH72">
        <v>0</v>
      </c>
      <c r="AI72" s="15">
        <f t="shared" si="28"/>
        <v>654500</v>
      </c>
      <c r="AJ72" t="s">
        <v>282</v>
      </c>
    </row>
    <row r="73" spans="1:36">
      <c r="A73" t="s">
        <v>35</v>
      </c>
      <c r="B73" t="s">
        <v>36</v>
      </c>
      <c r="C73" t="s">
        <v>35</v>
      </c>
      <c r="D73" t="s">
        <v>283</v>
      </c>
      <c r="E73" s="18" t="s">
        <v>38</v>
      </c>
      <c r="F73" s="18" t="s">
        <v>284</v>
      </c>
      <c r="G73" t="s">
        <v>285</v>
      </c>
      <c r="H73" t="s">
        <v>171</v>
      </c>
      <c r="I73" s="8">
        <v>25000</v>
      </c>
      <c r="J73" s="8">
        <v>10</v>
      </c>
      <c r="K73" s="8">
        <v>0</v>
      </c>
      <c r="L73" s="8">
        <f t="shared" si="19"/>
        <v>10</v>
      </c>
      <c r="M73" s="9">
        <f t="shared" si="20"/>
        <v>250000</v>
      </c>
      <c r="N73" t="s">
        <v>285</v>
      </c>
      <c r="O73" t="s">
        <v>286</v>
      </c>
      <c r="P73" t="s">
        <v>77</v>
      </c>
      <c r="Q73" t="str">
        <f t="shared" si="26"/>
        <v>NETO</v>
      </c>
      <c r="R73" t="str">
        <f t="shared" si="27"/>
        <v>IMPUESTO</v>
      </c>
      <c r="S73" t="str">
        <f t="shared" si="25"/>
        <v>TOTAL</v>
      </c>
      <c r="T73" s="10">
        <f t="shared" si="21"/>
        <v>250000</v>
      </c>
      <c r="U73" s="11">
        <f t="shared" ref="U73:U79" si="30">+IF(P73="TRATO",0,IF(P73="BOLETA",13%,19%))</f>
        <v>0.19</v>
      </c>
      <c r="V73" s="12">
        <f t="shared" si="22"/>
        <v>47500</v>
      </c>
      <c r="W73" s="10">
        <f t="shared" si="23"/>
        <v>297500</v>
      </c>
      <c r="X73" s="10" t="s">
        <v>44</v>
      </c>
      <c r="Y73" t="s">
        <v>285</v>
      </c>
      <c r="Z73" t="s">
        <v>287</v>
      </c>
      <c r="AA73" t="s">
        <v>68</v>
      </c>
      <c r="AB73" t="s">
        <v>47</v>
      </c>
      <c r="AC73">
        <v>12987094</v>
      </c>
      <c r="AD73" s="13">
        <v>46173</v>
      </c>
      <c r="AE73" s="14" t="s">
        <v>48</v>
      </c>
      <c r="AF73" s="13">
        <v>46188</v>
      </c>
      <c r="AG73">
        <v>20260529</v>
      </c>
      <c r="AH73">
        <v>0</v>
      </c>
      <c r="AI73" s="15">
        <f t="shared" si="28"/>
        <v>297500</v>
      </c>
      <c r="AJ73" t="s">
        <v>288</v>
      </c>
    </row>
    <row r="74" spans="1:36">
      <c r="A74" t="s">
        <v>35</v>
      </c>
      <c r="B74" t="s">
        <v>36</v>
      </c>
      <c r="C74" t="s">
        <v>35</v>
      </c>
      <c r="D74" t="s">
        <v>289</v>
      </c>
      <c r="E74" s="18" t="s">
        <v>38</v>
      </c>
      <c r="F74" s="18" t="s">
        <v>284</v>
      </c>
      <c r="G74" t="s">
        <v>285</v>
      </c>
      <c r="H74" t="s">
        <v>41</v>
      </c>
      <c r="I74" s="8">
        <v>15000</v>
      </c>
      <c r="J74" s="8">
        <v>10</v>
      </c>
      <c r="K74" s="8"/>
      <c r="L74" s="8">
        <f t="shared" si="19"/>
        <v>10</v>
      </c>
      <c r="M74" s="9">
        <f t="shared" si="20"/>
        <v>150000</v>
      </c>
      <c r="N74" t="s">
        <v>285</v>
      </c>
      <c r="O74" t="s">
        <v>286</v>
      </c>
      <c r="P74" t="s">
        <v>77</v>
      </c>
      <c r="Q74" t="str">
        <f t="shared" si="26"/>
        <v>NETO</v>
      </c>
      <c r="R74" t="str">
        <f t="shared" si="27"/>
        <v>IMPUESTO</v>
      </c>
      <c r="S74" t="str">
        <f t="shared" si="25"/>
        <v>TOTAL</v>
      </c>
      <c r="T74" s="10">
        <f t="shared" si="21"/>
        <v>150000</v>
      </c>
      <c r="U74" s="11">
        <f t="shared" si="30"/>
        <v>0.19</v>
      </c>
      <c r="V74" s="12">
        <f t="shared" si="22"/>
        <v>28500</v>
      </c>
      <c r="W74" s="10">
        <f t="shared" si="23"/>
        <v>178500</v>
      </c>
      <c r="X74" s="10" t="s">
        <v>44</v>
      </c>
      <c r="Y74" t="s">
        <v>285</v>
      </c>
      <c r="Z74" t="s">
        <v>287</v>
      </c>
      <c r="AA74" t="s">
        <v>68</v>
      </c>
      <c r="AB74" t="s">
        <v>47</v>
      </c>
      <c r="AC74">
        <v>12987094</v>
      </c>
      <c r="AD74" s="13">
        <v>46173</v>
      </c>
      <c r="AE74" s="14" t="s">
        <v>48</v>
      </c>
      <c r="AF74" s="13">
        <v>46188</v>
      </c>
      <c r="AG74">
        <v>20260529</v>
      </c>
      <c r="AH74">
        <v>0</v>
      </c>
      <c r="AI74" s="15">
        <f t="shared" si="28"/>
        <v>178500</v>
      </c>
      <c r="AJ74" t="s">
        <v>288</v>
      </c>
    </row>
    <row r="75" spans="1:36">
      <c r="A75" t="s">
        <v>35</v>
      </c>
      <c r="B75" t="s">
        <v>36</v>
      </c>
      <c r="C75" t="s">
        <v>35</v>
      </c>
      <c r="D75" t="s">
        <v>290</v>
      </c>
      <c r="E75" s="18" t="s">
        <v>38</v>
      </c>
      <c r="F75" s="18" t="s">
        <v>284</v>
      </c>
      <c r="G75" t="s">
        <v>285</v>
      </c>
      <c r="H75" t="s">
        <v>41</v>
      </c>
      <c r="I75" s="8">
        <v>15000</v>
      </c>
      <c r="J75" s="8">
        <v>10</v>
      </c>
      <c r="K75" s="8"/>
      <c r="L75" s="8">
        <f t="shared" si="19"/>
        <v>10</v>
      </c>
      <c r="M75" s="9">
        <f t="shared" si="20"/>
        <v>150000</v>
      </c>
      <c r="N75" t="s">
        <v>285</v>
      </c>
      <c r="O75" t="s">
        <v>286</v>
      </c>
      <c r="P75" t="s">
        <v>77</v>
      </c>
      <c r="Q75" t="str">
        <f t="shared" si="26"/>
        <v>NETO</v>
      </c>
      <c r="R75" t="str">
        <f t="shared" si="27"/>
        <v>IMPUESTO</v>
      </c>
      <c r="S75" t="str">
        <f t="shared" si="25"/>
        <v>TOTAL</v>
      </c>
      <c r="T75" s="10">
        <f t="shared" si="21"/>
        <v>150000</v>
      </c>
      <c r="U75" s="11">
        <f t="shared" si="30"/>
        <v>0.19</v>
      </c>
      <c r="V75" s="12">
        <f t="shared" si="22"/>
        <v>28500</v>
      </c>
      <c r="W75" s="10">
        <f t="shared" si="23"/>
        <v>178500</v>
      </c>
      <c r="X75" s="10" t="s">
        <v>44</v>
      </c>
      <c r="Y75" t="s">
        <v>285</v>
      </c>
      <c r="Z75" t="s">
        <v>287</v>
      </c>
      <c r="AA75" t="s">
        <v>68</v>
      </c>
      <c r="AB75" t="s">
        <v>47</v>
      </c>
      <c r="AC75">
        <v>12987094</v>
      </c>
      <c r="AD75" s="13">
        <v>46173</v>
      </c>
      <c r="AE75" s="14" t="s">
        <v>48</v>
      </c>
      <c r="AF75" s="13">
        <v>46188</v>
      </c>
      <c r="AG75">
        <v>20260529</v>
      </c>
      <c r="AH75">
        <v>0</v>
      </c>
      <c r="AI75" s="15">
        <f t="shared" si="28"/>
        <v>178500</v>
      </c>
      <c r="AJ75" t="s">
        <v>288</v>
      </c>
    </row>
    <row r="76" spans="1:36">
      <c r="A76" t="s">
        <v>35</v>
      </c>
      <c r="B76" t="s">
        <v>36</v>
      </c>
      <c r="C76" t="s">
        <v>35</v>
      </c>
      <c r="D76" t="s">
        <v>173</v>
      </c>
      <c r="E76" s="18" t="s">
        <v>38</v>
      </c>
      <c r="F76" s="18" t="s">
        <v>284</v>
      </c>
      <c r="G76" t="s">
        <v>285</v>
      </c>
      <c r="H76" t="s">
        <v>176</v>
      </c>
      <c r="I76" s="8">
        <v>35000</v>
      </c>
      <c r="J76" s="8">
        <v>10</v>
      </c>
      <c r="K76" s="8"/>
      <c r="L76" s="8">
        <f t="shared" si="19"/>
        <v>10</v>
      </c>
      <c r="M76" s="9">
        <f t="shared" si="20"/>
        <v>350000</v>
      </c>
      <c r="N76" t="s">
        <v>285</v>
      </c>
      <c r="O76" t="s">
        <v>286</v>
      </c>
      <c r="P76" t="s">
        <v>77</v>
      </c>
      <c r="Q76" t="str">
        <f t="shared" si="26"/>
        <v>NETO</v>
      </c>
      <c r="R76" t="str">
        <f t="shared" si="27"/>
        <v>IMPUESTO</v>
      </c>
      <c r="S76" t="str">
        <f t="shared" si="25"/>
        <v>TOTAL</v>
      </c>
      <c r="T76" s="10">
        <f t="shared" si="21"/>
        <v>350000</v>
      </c>
      <c r="U76" s="11">
        <f t="shared" si="30"/>
        <v>0.19</v>
      </c>
      <c r="V76" s="12">
        <f t="shared" si="22"/>
        <v>66500</v>
      </c>
      <c r="W76" s="10">
        <f t="shared" si="23"/>
        <v>416500</v>
      </c>
      <c r="X76" s="10" t="s">
        <v>44</v>
      </c>
      <c r="Y76" t="s">
        <v>285</v>
      </c>
      <c r="Z76" t="s">
        <v>287</v>
      </c>
      <c r="AA76" t="s">
        <v>68</v>
      </c>
      <c r="AB76" t="s">
        <v>47</v>
      </c>
      <c r="AC76">
        <v>12987094</v>
      </c>
      <c r="AD76" s="13">
        <v>46173</v>
      </c>
      <c r="AE76" s="14" t="s">
        <v>48</v>
      </c>
      <c r="AF76" s="13">
        <v>46188</v>
      </c>
      <c r="AG76">
        <v>20260529</v>
      </c>
      <c r="AH76">
        <v>0</v>
      </c>
      <c r="AI76" s="15">
        <f t="shared" si="28"/>
        <v>416500</v>
      </c>
      <c r="AJ76" t="s">
        <v>288</v>
      </c>
    </row>
    <row r="77" spans="1:36">
      <c r="A77" t="s">
        <v>89</v>
      </c>
      <c r="B77" t="s">
        <v>36</v>
      </c>
      <c r="C77" t="s">
        <v>89</v>
      </c>
      <c r="D77" t="s">
        <v>291</v>
      </c>
      <c r="E77" s="18" t="s">
        <v>38</v>
      </c>
      <c r="F77" s="18" t="s">
        <v>292</v>
      </c>
      <c r="G77" t="s">
        <v>293</v>
      </c>
      <c r="H77" t="s">
        <v>41</v>
      </c>
      <c r="I77" s="8">
        <v>18000</v>
      </c>
      <c r="J77" s="8">
        <v>10</v>
      </c>
      <c r="K77" s="8"/>
      <c r="L77" s="8">
        <f t="shared" si="19"/>
        <v>10</v>
      </c>
      <c r="M77" s="9">
        <f t="shared" si="20"/>
        <v>180000</v>
      </c>
      <c r="N77" t="s">
        <v>293</v>
      </c>
      <c r="O77" t="s">
        <v>294</v>
      </c>
      <c r="P77" t="s">
        <v>77</v>
      </c>
      <c r="Q77" t="str">
        <f t="shared" si="26"/>
        <v>NETO</v>
      </c>
      <c r="R77" t="str">
        <f t="shared" si="27"/>
        <v>IMPUESTO</v>
      </c>
      <c r="S77" t="str">
        <f t="shared" si="25"/>
        <v>TOTAL</v>
      </c>
      <c r="T77" s="10">
        <f t="shared" si="21"/>
        <v>180000</v>
      </c>
      <c r="U77" s="11">
        <f t="shared" si="30"/>
        <v>0.19</v>
      </c>
      <c r="V77" s="12">
        <f t="shared" si="22"/>
        <v>34200</v>
      </c>
      <c r="W77" s="10">
        <f t="shared" si="23"/>
        <v>214200</v>
      </c>
      <c r="X77" s="10" t="s">
        <v>44</v>
      </c>
      <c r="Y77" t="s">
        <v>293</v>
      </c>
      <c r="Z77" t="s">
        <v>295</v>
      </c>
      <c r="AA77" t="s">
        <v>46</v>
      </c>
      <c r="AB77" t="s">
        <v>105</v>
      </c>
      <c r="AC77">
        <v>15150071956</v>
      </c>
      <c r="AD77" s="13">
        <v>46173</v>
      </c>
      <c r="AE77" s="14" t="s">
        <v>48</v>
      </c>
      <c r="AF77" s="13">
        <v>46188</v>
      </c>
      <c r="AG77">
        <v>20260530</v>
      </c>
      <c r="AH77">
        <v>0</v>
      </c>
      <c r="AI77" s="15">
        <f t="shared" si="28"/>
        <v>214200</v>
      </c>
      <c r="AJ77" t="s">
        <v>296</v>
      </c>
    </row>
    <row r="78" spans="1:36">
      <c r="A78" t="s">
        <v>89</v>
      </c>
      <c r="B78" t="s">
        <v>36</v>
      </c>
      <c r="C78" t="s">
        <v>89</v>
      </c>
      <c r="D78" t="s">
        <v>297</v>
      </c>
      <c r="E78" s="18" t="s">
        <v>38</v>
      </c>
      <c r="F78" s="18" t="s">
        <v>292</v>
      </c>
      <c r="G78" t="s">
        <v>293</v>
      </c>
      <c r="H78" t="s">
        <v>41</v>
      </c>
      <c r="I78" s="8">
        <v>18000</v>
      </c>
      <c r="J78" s="8">
        <v>10</v>
      </c>
      <c r="K78" s="8"/>
      <c r="L78" s="8">
        <f t="shared" si="19"/>
        <v>10</v>
      </c>
      <c r="M78" s="9">
        <f t="shared" si="20"/>
        <v>180000</v>
      </c>
      <c r="N78" t="s">
        <v>293</v>
      </c>
      <c r="O78" t="s">
        <v>294</v>
      </c>
      <c r="P78" t="s">
        <v>77</v>
      </c>
      <c r="Q78" t="str">
        <f t="shared" si="26"/>
        <v>NETO</v>
      </c>
      <c r="R78" t="str">
        <f t="shared" si="27"/>
        <v>IMPUESTO</v>
      </c>
      <c r="S78" t="str">
        <f t="shared" si="25"/>
        <v>TOTAL</v>
      </c>
      <c r="T78" s="10">
        <f t="shared" si="21"/>
        <v>180000</v>
      </c>
      <c r="U78" s="11">
        <f t="shared" si="30"/>
        <v>0.19</v>
      </c>
      <c r="V78" s="12">
        <f t="shared" si="22"/>
        <v>34200</v>
      </c>
      <c r="W78" s="10">
        <f t="shared" si="23"/>
        <v>214200</v>
      </c>
      <c r="X78" s="10" t="s">
        <v>44</v>
      </c>
      <c r="Y78" t="s">
        <v>293</v>
      </c>
      <c r="Z78" t="s">
        <v>295</v>
      </c>
      <c r="AA78" t="s">
        <v>46</v>
      </c>
      <c r="AB78" t="s">
        <v>105</v>
      </c>
      <c r="AC78">
        <v>15150071956</v>
      </c>
      <c r="AD78" s="13">
        <v>46173</v>
      </c>
      <c r="AE78" s="14" t="s">
        <v>48</v>
      </c>
      <c r="AF78" s="13">
        <v>46188</v>
      </c>
      <c r="AG78">
        <v>20260530</v>
      </c>
      <c r="AH78">
        <v>0</v>
      </c>
      <c r="AI78" s="15">
        <f t="shared" si="28"/>
        <v>214200</v>
      </c>
      <c r="AJ78" t="s">
        <v>296</v>
      </c>
    </row>
    <row r="79" spans="1:36">
      <c r="A79" t="s">
        <v>89</v>
      </c>
      <c r="B79" t="s">
        <v>36</v>
      </c>
      <c r="C79" t="s">
        <v>89</v>
      </c>
      <c r="D79" t="s">
        <v>298</v>
      </c>
      <c r="E79" s="18" t="s">
        <v>38</v>
      </c>
      <c r="F79" s="18" t="s">
        <v>292</v>
      </c>
      <c r="G79" t="s">
        <v>293</v>
      </c>
      <c r="H79" t="s">
        <v>41</v>
      </c>
      <c r="I79" s="8">
        <v>18000</v>
      </c>
      <c r="J79" s="8">
        <v>10</v>
      </c>
      <c r="K79" s="8"/>
      <c r="L79" s="8">
        <f t="shared" si="19"/>
        <v>10</v>
      </c>
      <c r="M79" s="9">
        <f t="shared" si="20"/>
        <v>180000</v>
      </c>
      <c r="N79" t="s">
        <v>293</v>
      </c>
      <c r="O79" t="s">
        <v>294</v>
      </c>
      <c r="P79" t="s">
        <v>77</v>
      </c>
      <c r="Q79" t="str">
        <f t="shared" si="26"/>
        <v>NETO</v>
      </c>
      <c r="R79" t="str">
        <f t="shared" si="27"/>
        <v>IMPUESTO</v>
      </c>
      <c r="S79" t="str">
        <f t="shared" si="25"/>
        <v>TOTAL</v>
      </c>
      <c r="T79" s="10">
        <f t="shared" si="21"/>
        <v>180000</v>
      </c>
      <c r="U79" s="11">
        <f t="shared" si="30"/>
        <v>0.19</v>
      </c>
      <c r="V79" s="12">
        <f t="shared" si="22"/>
        <v>34200</v>
      </c>
      <c r="W79" s="10">
        <f t="shared" si="23"/>
        <v>214200</v>
      </c>
      <c r="X79" s="10" t="s">
        <v>44</v>
      </c>
      <c r="Y79" t="s">
        <v>293</v>
      </c>
      <c r="Z79" t="s">
        <v>295</v>
      </c>
      <c r="AA79" t="s">
        <v>46</v>
      </c>
      <c r="AB79" t="s">
        <v>105</v>
      </c>
      <c r="AC79">
        <v>15150071956</v>
      </c>
      <c r="AD79" s="13">
        <v>46173</v>
      </c>
      <c r="AE79" s="14" t="s">
        <v>48</v>
      </c>
      <c r="AF79" s="13">
        <v>46188</v>
      </c>
      <c r="AG79">
        <v>20260530</v>
      </c>
      <c r="AH79">
        <v>0</v>
      </c>
      <c r="AI79" s="15">
        <f t="shared" si="28"/>
        <v>214200</v>
      </c>
      <c r="AJ79" t="s">
        <v>296</v>
      </c>
    </row>
    <row r="80" spans="1:36">
      <c r="A80" t="s">
        <v>61</v>
      </c>
      <c r="B80" t="s">
        <v>36</v>
      </c>
      <c r="C80" t="s">
        <v>61</v>
      </c>
      <c r="D80" t="s">
        <v>299</v>
      </c>
      <c r="E80" s="18" t="s">
        <v>38</v>
      </c>
      <c r="F80" s="18" t="s">
        <v>300</v>
      </c>
      <c r="G80" t="s">
        <v>301</v>
      </c>
      <c r="H80" t="s">
        <v>41</v>
      </c>
      <c r="I80" s="8">
        <v>8000</v>
      </c>
      <c r="J80" s="8">
        <v>10</v>
      </c>
      <c r="K80" s="8"/>
      <c r="L80" s="8">
        <f t="shared" si="19"/>
        <v>10</v>
      </c>
      <c r="M80" s="9">
        <f t="shared" si="20"/>
        <v>80000</v>
      </c>
      <c r="N80" t="s">
        <v>301</v>
      </c>
      <c r="O80" t="s">
        <v>302</v>
      </c>
      <c r="P80" t="s">
        <v>43</v>
      </c>
      <c r="Q80" t="str">
        <f t="shared" si="26"/>
        <v>BRUTO</v>
      </c>
      <c r="R80" t="str">
        <f t="shared" si="27"/>
        <v>RETENCION</v>
      </c>
      <c r="S80" t="str">
        <f t="shared" si="25"/>
        <v>LIQUIDO A PAGAR</v>
      </c>
      <c r="T80" s="10">
        <f t="shared" si="21"/>
        <v>80000</v>
      </c>
      <c r="U80" s="11">
        <v>0.1525</v>
      </c>
      <c r="V80" s="12">
        <f t="shared" si="22"/>
        <v>12200</v>
      </c>
      <c r="W80" s="10">
        <f t="shared" si="23"/>
        <v>67800</v>
      </c>
      <c r="X80" s="10" t="s">
        <v>44</v>
      </c>
      <c r="Y80" t="s">
        <v>301</v>
      </c>
      <c r="Z80" t="s">
        <v>303</v>
      </c>
      <c r="AA80" t="s">
        <v>46</v>
      </c>
      <c r="AB80" t="s">
        <v>47</v>
      </c>
      <c r="AC80">
        <v>50012860868</v>
      </c>
      <c r="AD80" s="13">
        <v>46173</v>
      </c>
      <c r="AE80" s="14" t="s">
        <v>48</v>
      </c>
      <c r="AF80" s="13">
        <v>46188</v>
      </c>
      <c r="AG80">
        <v>20260531</v>
      </c>
      <c r="AH80">
        <v>0</v>
      </c>
      <c r="AI80" s="15">
        <f t="shared" si="28"/>
        <v>67800</v>
      </c>
      <c r="AJ80" t="s">
        <v>304</v>
      </c>
    </row>
    <row r="81" spans="1:36">
      <c r="A81" t="s">
        <v>82</v>
      </c>
      <c r="B81" t="s">
        <v>36</v>
      </c>
      <c r="C81" t="s">
        <v>82</v>
      </c>
      <c r="D81" t="s">
        <v>305</v>
      </c>
      <c r="E81" s="18" t="s">
        <v>38</v>
      </c>
      <c r="F81" s="18" t="s">
        <v>300</v>
      </c>
      <c r="G81" t="s">
        <v>301</v>
      </c>
      <c r="H81" t="s">
        <v>176</v>
      </c>
      <c r="I81" s="8">
        <v>30000</v>
      </c>
      <c r="J81" s="8">
        <v>10</v>
      </c>
      <c r="K81" s="8"/>
      <c r="L81" s="8">
        <f t="shared" si="19"/>
        <v>10</v>
      </c>
      <c r="M81" s="9">
        <f t="shared" si="20"/>
        <v>300000</v>
      </c>
      <c r="N81" t="s">
        <v>301</v>
      </c>
      <c r="O81" t="s">
        <v>302</v>
      </c>
      <c r="P81" t="s">
        <v>43</v>
      </c>
      <c r="Q81" t="str">
        <f t="shared" si="26"/>
        <v>BRUTO</v>
      </c>
      <c r="R81" t="str">
        <f t="shared" si="27"/>
        <v>RETENCION</v>
      </c>
      <c r="S81" t="str">
        <f t="shared" si="25"/>
        <v>LIQUIDO A PAGAR</v>
      </c>
      <c r="T81" s="10">
        <f t="shared" si="21"/>
        <v>300000</v>
      </c>
      <c r="U81" s="11">
        <v>0.1525</v>
      </c>
      <c r="V81" s="12">
        <f t="shared" si="22"/>
        <v>45750</v>
      </c>
      <c r="W81" s="10">
        <f t="shared" si="23"/>
        <v>254250</v>
      </c>
      <c r="X81" s="10" t="s">
        <v>44</v>
      </c>
      <c r="Y81" t="s">
        <v>301</v>
      </c>
      <c r="Z81" t="s">
        <v>303</v>
      </c>
      <c r="AA81" t="s">
        <v>46</v>
      </c>
      <c r="AB81" t="s">
        <v>47</v>
      </c>
      <c r="AC81">
        <v>50012860868</v>
      </c>
      <c r="AD81" s="13">
        <v>46173</v>
      </c>
      <c r="AE81" s="14" t="s">
        <v>48</v>
      </c>
      <c r="AF81" s="13">
        <v>46188</v>
      </c>
      <c r="AG81">
        <v>20260531</v>
      </c>
      <c r="AH81">
        <v>0</v>
      </c>
      <c r="AI81" s="15">
        <f t="shared" si="28"/>
        <v>254250</v>
      </c>
      <c r="AJ81" t="s">
        <v>304</v>
      </c>
    </row>
    <row r="82" spans="1:36">
      <c r="A82" t="s">
        <v>82</v>
      </c>
      <c r="B82" t="s">
        <v>36</v>
      </c>
      <c r="C82" t="s">
        <v>82</v>
      </c>
      <c r="D82" t="s">
        <v>306</v>
      </c>
      <c r="E82" s="18" t="s">
        <v>38</v>
      </c>
      <c r="F82" s="18" t="s">
        <v>300</v>
      </c>
      <c r="G82" t="s">
        <v>301</v>
      </c>
      <c r="H82" t="s">
        <v>41</v>
      </c>
      <c r="I82" s="8">
        <v>26000</v>
      </c>
      <c r="J82" s="8">
        <v>10</v>
      </c>
      <c r="K82" s="8"/>
      <c r="L82" s="8">
        <f t="shared" si="19"/>
        <v>10</v>
      </c>
      <c r="M82" s="9">
        <f t="shared" si="20"/>
        <v>260000</v>
      </c>
      <c r="N82" t="s">
        <v>301</v>
      </c>
      <c r="O82" t="s">
        <v>302</v>
      </c>
      <c r="P82" t="s">
        <v>43</v>
      </c>
      <c r="Q82" t="str">
        <f t="shared" si="26"/>
        <v>BRUTO</v>
      </c>
      <c r="R82" t="str">
        <f t="shared" si="27"/>
        <v>RETENCION</v>
      </c>
      <c r="S82" t="str">
        <f t="shared" si="25"/>
        <v>LIQUIDO A PAGAR</v>
      </c>
      <c r="T82" s="10">
        <f t="shared" si="21"/>
        <v>260000</v>
      </c>
      <c r="U82" s="11">
        <v>0.1525</v>
      </c>
      <c r="V82" s="12">
        <f t="shared" si="22"/>
        <v>39650</v>
      </c>
      <c r="W82" s="10">
        <f t="shared" si="23"/>
        <v>220350</v>
      </c>
      <c r="X82" s="10" t="s">
        <v>44</v>
      </c>
      <c r="Y82" t="s">
        <v>301</v>
      </c>
      <c r="Z82" t="s">
        <v>303</v>
      </c>
      <c r="AA82" t="s">
        <v>46</v>
      </c>
      <c r="AB82" t="s">
        <v>47</v>
      </c>
      <c r="AC82">
        <v>50012860868</v>
      </c>
      <c r="AD82" s="13">
        <v>46173</v>
      </c>
      <c r="AE82" s="14" t="s">
        <v>48</v>
      </c>
      <c r="AF82" s="13">
        <v>46188</v>
      </c>
      <c r="AG82">
        <v>20260531</v>
      </c>
      <c r="AH82">
        <v>0</v>
      </c>
      <c r="AI82" s="15">
        <f t="shared" si="28"/>
        <v>220350</v>
      </c>
      <c r="AJ82" t="s">
        <v>304</v>
      </c>
    </row>
    <row r="83" spans="1:36">
      <c r="A83" t="s">
        <v>82</v>
      </c>
      <c r="B83" t="s">
        <v>36</v>
      </c>
      <c r="C83" t="s">
        <v>82</v>
      </c>
      <c r="D83" t="s">
        <v>307</v>
      </c>
      <c r="E83" s="18" t="s">
        <v>38</v>
      </c>
      <c r="F83" s="18" t="s">
        <v>300</v>
      </c>
      <c r="G83" t="s">
        <v>301</v>
      </c>
      <c r="H83" t="s">
        <v>41</v>
      </c>
      <c r="I83" s="8">
        <v>14000</v>
      </c>
      <c r="J83" s="8">
        <v>10</v>
      </c>
      <c r="K83" s="8"/>
      <c r="L83" s="8">
        <f t="shared" si="19"/>
        <v>10</v>
      </c>
      <c r="M83" s="9">
        <f t="shared" si="20"/>
        <v>140000</v>
      </c>
      <c r="N83" t="s">
        <v>301</v>
      </c>
      <c r="O83" t="s">
        <v>302</v>
      </c>
      <c r="P83" t="s">
        <v>43</v>
      </c>
      <c r="Q83" t="str">
        <f t="shared" si="26"/>
        <v>BRUTO</v>
      </c>
      <c r="R83" t="str">
        <f t="shared" si="27"/>
        <v>RETENCION</v>
      </c>
      <c r="S83" t="str">
        <f t="shared" si="25"/>
        <v>LIQUIDO A PAGAR</v>
      </c>
      <c r="T83" s="10">
        <f t="shared" si="21"/>
        <v>140000</v>
      </c>
      <c r="U83" s="11">
        <v>0.1525</v>
      </c>
      <c r="V83" s="12">
        <f t="shared" si="22"/>
        <v>21350</v>
      </c>
      <c r="W83" s="10">
        <f t="shared" si="23"/>
        <v>118650</v>
      </c>
      <c r="X83" s="10" t="s">
        <v>44</v>
      </c>
      <c r="Y83" t="s">
        <v>301</v>
      </c>
      <c r="Z83" t="s">
        <v>303</v>
      </c>
      <c r="AA83" t="s">
        <v>46</v>
      </c>
      <c r="AB83" t="s">
        <v>47</v>
      </c>
      <c r="AC83">
        <v>50012860868</v>
      </c>
      <c r="AD83" s="13">
        <v>46173</v>
      </c>
      <c r="AE83" s="14" t="s">
        <v>48</v>
      </c>
      <c r="AF83" s="13">
        <v>46188</v>
      </c>
      <c r="AG83">
        <v>20260531</v>
      </c>
      <c r="AH83">
        <v>0</v>
      </c>
      <c r="AI83" s="15">
        <f t="shared" si="28"/>
        <v>118650</v>
      </c>
      <c r="AJ83" t="s">
        <v>304</v>
      </c>
    </row>
    <row r="84" spans="1:36">
      <c r="A84" t="s">
        <v>35</v>
      </c>
      <c r="B84" t="s">
        <v>36</v>
      </c>
      <c r="C84" t="s">
        <v>35</v>
      </c>
      <c r="D84" t="s">
        <v>308</v>
      </c>
      <c r="E84" s="18" t="s">
        <v>38</v>
      </c>
      <c r="F84" s="18" t="s">
        <v>52</v>
      </c>
      <c r="G84" t="s">
        <v>309</v>
      </c>
      <c r="H84" t="s">
        <v>41</v>
      </c>
      <c r="I84" s="8">
        <v>25000</v>
      </c>
      <c r="J84" s="8">
        <v>10</v>
      </c>
      <c r="K84" s="8"/>
      <c r="L84" s="8">
        <f t="shared" si="19"/>
        <v>10</v>
      </c>
      <c r="M84" s="9">
        <f t="shared" si="20"/>
        <v>250000</v>
      </c>
      <c r="N84" t="s">
        <v>309</v>
      </c>
      <c r="O84" t="s">
        <v>310</v>
      </c>
      <c r="P84" t="s">
        <v>43</v>
      </c>
      <c r="Q84" t="str">
        <f t="shared" si="26"/>
        <v>BRUTO</v>
      </c>
      <c r="R84" t="str">
        <f t="shared" si="27"/>
        <v>RETENCION</v>
      </c>
      <c r="S84" t="str">
        <f t="shared" si="25"/>
        <v>LIQUIDO A PAGAR</v>
      </c>
      <c r="T84" s="10">
        <f t="shared" si="21"/>
        <v>250000</v>
      </c>
      <c r="U84" s="11">
        <v>0.1525</v>
      </c>
      <c r="V84" s="12">
        <f t="shared" si="22"/>
        <v>38125</v>
      </c>
      <c r="W84" s="10">
        <f t="shared" si="23"/>
        <v>211875</v>
      </c>
      <c r="X84" s="10" t="s">
        <v>44</v>
      </c>
      <c r="Y84" t="s">
        <v>309</v>
      </c>
      <c r="Z84" t="s">
        <v>311</v>
      </c>
      <c r="AA84" t="s">
        <v>68</v>
      </c>
      <c r="AB84" t="s">
        <v>47</v>
      </c>
      <c r="AC84">
        <v>213115537</v>
      </c>
      <c r="AD84" s="13">
        <v>46173</v>
      </c>
      <c r="AE84" s="14" t="s">
        <v>48</v>
      </c>
      <c r="AF84" s="13">
        <v>46188</v>
      </c>
      <c r="AG84">
        <v>20260532</v>
      </c>
      <c r="AH84">
        <v>0</v>
      </c>
      <c r="AI84" s="15">
        <f t="shared" si="28"/>
        <v>211875</v>
      </c>
      <c r="AJ84" t="s">
        <v>312</v>
      </c>
    </row>
    <row r="85" spans="1:36">
      <c r="A85" t="s">
        <v>35</v>
      </c>
      <c r="B85" t="s">
        <v>36</v>
      </c>
      <c r="C85" t="s">
        <v>35</v>
      </c>
      <c r="D85" t="s">
        <v>313</v>
      </c>
      <c r="E85" s="18" t="s">
        <v>38</v>
      </c>
      <c r="F85" s="18" t="s">
        <v>284</v>
      </c>
      <c r="G85" t="s">
        <v>314</v>
      </c>
      <c r="H85" t="s">
        <v>41</v>
      </c>
      <c r="I85" s="8">
        <v>50000</v>
      </c>
      <c r="J85" s="8">
        <v>10</v>
      </c>
      <c r="K85" s="8"/>
      <c r="L85" s="8">
        <f t="shared" si="19"/>
        <v>10</v>
      </c>
      <c r="M85" s="9">
        <f t="shared" si="20"/>
        <v>500000</v>
      </c>
      <c r="N85" t="s">
        <v>314</v>
      </c>
      <c r="O85" t="s">
        <v>315</v>
      </c>
      <c r="P85" t="s">
        <v>43</v>
      </c>
      <c r="Q85" t="str">
        <f t="shared" si="26"/>
        <v>BRUTO</v>
      </c>
      <c r="R85" t="str">
        <f t="shared" si="27"/>
        <v>RETENCION</v>
      </c>
      <c r="S85" t="str">
        <f t="shared" si="25"/>
        <v>LIQUIDO A PAGAR</v>
      </c>
      <c r="T85" s="10">
        <f t="shared" si="21"/>
        <v>500000</v>
      </c>
      <c r="U85" s="11">
        <v>0.1525</v>
      </c>
      <c r="V85" s="12">
        <f t="shared" si="22"/>
        <v>76250</v>
      </c>
      <c r="W85" s="10">
        <f t="shared" si="23"/>
        <v>423750</v>
      </c>
      <c r="X85" s="10" t="s">
        <v>44</v>
      </c>
      <c r="Y85" t="s">
        <v>314</v>
      </c>
      <c r="Z85" t="s">
        <v>316</v>
      </c>
      <c r="AA85" t="s">
        <v>68</v>
      </c>
      <c r="AB85" t="s">
        <v>47</v>
      </c>
      <c r="AC85">
        <v>26522941</v>
      </c>
      <c r="AD85" s="13">
        <v>46173</v>
      </c>
      <c r="AE85" s="14" t="s">
        <v>48</v>
      </c>
      <c r="AF85" s="13">
        <v>46188</v>
      </c>
      <c r="AG85">
        <v>20260533</v>
      </c>
      <c r="AH85">
        <v>0</v>
      </c>
      <c r="AI85" s="15">
        <f t="shared" si="28"/>
        <v>423750</v>
      </c>
      <c r="AJ85" t="s">
        <v>317</v>
      </c>
    </row>
    <row r="86" spans="1:36">
      <c r="A86" t="s">
        <v>50</v>
      </c>
      <c r="B86" t="s">
        <v>36</v>
      </c>
      <c r="C86" t="s">
        <v>50</v>
      </c>
      <c r="D86" t="s">
        <v>318</v>
      </c>
      <c r="E86" s="18" t="s">
        <v>38</v>
      </c>
      <c r="F86" s="18" t="s">
        <v>319</v>
      </c>
      <c r="G86" t="s">
        <v>320</v>
      </c>
      <c r="H86" t="s">
        <v>41</v>
      </c>
      <c r="I86" s="8">
        <v>47500</v>
      </c>
      <c r="J86" s="8">
        <v>10</v>
      </c>
      <c r="K86" s="8"/>
      <c r="L86" s="8">
        <f t="shared" si="19"/>
        <v>10</v>
      </c>
      <c r="M86" s="9">
        <f t="shared" si="20"/>
        <v>475000</v>
      </c>
      <c r="N86" t="s">
        <v>321</v>
      </c>
      <c r="O86" t="s">
        <v>322</v>
      </c>
      <c r="P86" t="s">
        <v>77</v>
      </c>
      <c r="Q86" t="str">
        <f t="shared" si="26"/>
        <v>NETO</v>
      </c>
      <c r="R86" t="str">
        <f t="shared" si="27"/>
        <v>IMPUESTO</v>
      </c>
      <c r="S86" t="str">
        <f t="shared" si="25"/>
        <v>TOTAL</v>
      </c>
      <c r="T86" s="10">
        <f t="shared" si="21"/>
        <v>475000</v>
      </c>
      <c r="U86" s="11">
        <f t="shared" ref="U86:U88" si="31">+IF(P86="TRATO",0,IF(P86="BOLETA",13%,19%))</f>
        <v>0.19</v>
      </c>
      <c r="V86" s="12">
        <f t="shared" si="22"/>
        <v>90250</v>
      </c>
      <c r="W86" s="10">
        <f t="shared" si="23"/>
        <v>565250</v>
      </c>
      <c r="X86" s="10" t="s">
        <v>44</v>
      </c>
      <c r="Y86" t="s">
        <v>321</v>
      </c>
      <c r="Z86" t="s">
        <v>323</v>
      </c>
      <c r="AA86" t="s">
        <v>324</v>
      </c>
      <c r="AB86" t="s">
        <v>105</v>
      </c>
      <c r="AC86">
        <v>201600101</v>
      </c>
      <c r="AD86" s="13">
        <v>46173</v>
      </c>
      <c r="AE86" s="14" t="s">
        <v>48</v>
      </c>
      <c r="AF86" s="13">
        <v>46188</v>
      </c>
      <c r="AG86">
        <v>20260534</v>
      </c>
      <c r="AH86">
        <v>0</v>
      </c>
      <c r="AI86" s="15">
        <f t="shared" si="28"/>
        <v>565250</v>
      </c>
      <c r="AJ86" t="s">
        <v>325</v>
      </c>
    </row>
    <row r="87" spans="1:36">
      <c r="A87" t="s">
        <v>50</v>
      </c>
      <c r="B87" t="s">
        <v>36</v>
      </c>
      <c r="C87" t="s">
        <v>50</v>
      </c>
      <c r="D87" t="s">
        <v>326</v>
      </c>
      <c r="E87" s="18" t="s">
        <v>38</v>
      </c>
      <c r="F87" s="18" t="s">
        <v>319</v>
      </c>
      <c r="G87" t="s">
        <v>321</v>
      </c>
      <c r="H87" t="s">
        <v>41</v>
      </c>
      <c r="I87" s="8">
        <v>41000</v>
      </c>
      <c r="J87" s="8">
        <v>10</v>
      </c>
      <c r="K87" s="8"/>
      <c r="L87" s="8">
        <f t="shared" si="19"/>
        <v>10</v>
      </c>
      <c r="M87" s="9">
        <f t="shared" si="20"/>
        <v>410000</v>
      </c>
      <c r="N87" t="s">
        <v>321</v>
      </c>
      <c r="O87" t="s">
        <v>322</v>
      </c>
      <c r="P87" t="s">
        <v>77</v>
      </c>
      <c r="Q87" t="str">
        <f t="shared" si="26"/>
        <v>NETO</v>
      </c>
      <c r="R87" t="str">
        <f t="shared" si="27"/>
        <v>IMPUESTO</v>
      </c>
      <c r="S87" t="str">
        <f t="shared" si="25"/>
        <v>TOTAL</v>
      </c>
      <c r="T87" s="10">
        <f t="shared" si="21"/>
        <v>410000</v>
      </c>
      <c r="U87" s="11">
        <f t="shared" si="31"/>
        <v>0.19</v>
      </c>
      <c r="V87" s="12">
        <f t="shared" si="22"/>
        <v>77900</v>
      </c>
      <c r="W87" s="10">
        <f t="shared" si="23"/>
        <v>487900</v>
      </c>
      <c r="X87" s="10" t="s">
        <v>44</v>
      </c>
      <c r="Y87" t="s">
        <v>321</v>
      </c>
      <c r="Z87" t="s">
        <v>323</v>
      </c>
      <c r="AA87" t="s">
        <v>324</v>
      </c>
      <c r="AB87" t="s">
        <v>105</v>
      </c>
      <c r="AC87">
        <v>201600101</v>
      </c>
      <c r="AD87" s="13">
        <v>46173</v>
      </c>
      <c r="AE87" s="14" t="s">
        <v>48</v>
      </c>
      <c r="AF87" s="13">
        <v>46188</v>
      </c>
      <c r="AG87">
        <v>20260534</v>
      </c>
      <c r="AH87">
        <v>0</v>
      </c>
      <c r="AI87" s="15">
        <f t="shared" si="28"/>
        <v>487900</v>
      </c>
      <c r="AJ87" t="s">
        <v>325</v>
      </c>
    </row>
    <row r="88" spans="1:36">
      <c r="A88" t="s">
        <v>50</v>
      </c>
      <c r="B88" t="s">
        <v>36</v>
      </c>
      <c r="C88" t="s">
        <v>50</v>
      </c>
      <c r="D88" t="s">
        <v>327</v>
      </c>
      <c r="E88" s="18" t="s">
        <v>38</v>
      </c>
      <c r="F88" s="18" t="s">
        <v>328</v>
      </c>
      <c r="G88" t="s">
        <v>329</v>
      </c>
      <c r="H88" t="s">
        <v>41</v>
      </c>
      <c r="I88" s="8">
        <v>47000</v>
      </c>
      <c r="J88" s="8">
        <v>10</v>
      </c>
      <c r="K88" s="8">
        <v>0</v>
      </c>
      <c r="L88" s="8">
        <f t="shared" si="19"/>
        <v>10</v>
      </c>
      <c r="M88" s="9">
        <f t="shared" si="20"/>
        <v>470000</v>
      </c>
      <c r="N88" t="s">
        <v>330</v>
      </c>
      <c r="O88" t="s">
        <v>331</v>
      </c>
      <c r="P88" t="s">
        <v>77</v>
      </c>
      <c r="Q88" t="str">
        <f t="shared" si="26"/>
        <v>NETO</v>
      </c>
      <c r="R88" t="str">
        <f t="shared" si="27"/>
        <v>IMPUESTO</v>
      </c>
      <c r="S88" t="str">
        <f t="shared" si="25"/>
        <v>TOTAL</v>
      </c>
      <c r="T88" s="10">
        <f t="shared" si="21"/>
        <v>470000</v>
      </c>
      <c r="U88" s="11">
        <f t="shared" si="31"/>
        <v>0.19</v>
      </c>
      <c r="V88" s="12">
        <f t="shared" si="22"/>
        <v>89300</v>
      </c>
      <c r="W88" s="10">
        <f t="shared" si="23"/>
        <v>559300</v>
      </c>
      <c r="X88" s="10" t="s">
        <v>44</v>
      </c>
      <c r="Y88" t="s">
        <v>332</v>
      </c>
      <c r="Z88" t="s">
        <v>333</v>
      </c>
      <c r="AA88" t="s">
        <v>68</v>
      </c>
      <c r="AB88" t="s">
        <v>47</v>
      </c>
      <c r="AC88">
        <v>13692859</v>
      </c>
      <c r="AD88" s="13">
        <v>46173</v>
      </c>
      <c r="AE88" s="14" t="s">
        <v>48</v>
      </c>
      <c r="AF88" s="13">
        <v>46188</v>
      </c>
      <c r="AG88">
        <v>20260535</v>
      </c>
      <c r="AH88">
        <v>0</v>
      </c>
      <c r="AI88" s="15">
        <f t="shared" si="28"/>
        <v>559300</v>
      </c>
      <c r="AJ88" t="s">
        <v>334</v>
      </c>
    </row>
    <row r="89" spans="1:36">
      <c r="A89" t="s">
        <v>71</v>
      </c>
      <c r="B89" t="s">
        <v>36</v>
      </c>
      <c r="C89" t="s">
        <v>71</v>
      </c>
      <c r="D89" t="s">
        <v>335</v>
      </c>
      <c r="E89" s="18" t="s">
        <v>38</v>
      </c>
      <c r="F89" s="18" t="s">
        <v>52</v>
      </c>
      <c r="G89" t="s">
        <v>336</v>
      </c>
      <c r="H89" t="s">
        <v>41</v>
      </c>
      <c r="I89" s="8">
        <v>43000</v>
      </c>
      <c r="J89" s="8">
        <v>10</v>
      </c>
      <c r="K89" s="8"/>
      <c r="L89" s="8">
        <f t="shared" si="19"/>
        <v>10</v>
      </c>
      <c r="M89" s="9">
        <f t="shared" si="20"/>
        <v>430000</v>
      </c>
      <c r="N89" t="s">
        <v>336</v>
      </c>
      <c r="O89" t="s">
        <v>337</v>
      </c>
      <c r="P89" t="s">
        <v>43</v>
      </c>
      <c r="Q89" t="str">
        <f t="shared" si="26"/>
        <v>BRUTO</v>
      </c>
      <c r="R89" t="str">
        <f t="shared" si="27"/>
        <v>RETENCION</v>
      </c>
      <c r="S89" t="str">
        <f t="shared" si="25"/>
        <v>LIQUIDO A PAGAR</v>
      </c>
      <c r="T89" s="10">
        <f t="shared" si="21"/>
        <v>430000</v>
      </c>
      <c r="U89" s="11">
        <v>0.1525</v>
      </c>
      <c r="V89" s="12">
        <f t="shared" si="22"/>
        <v>65575</v>
      </c>
      <c r="W89" s="10">
        <f t="shared" si="23"/>
        <v>364425</v>
      </c>
      <c r="X89" s="10" t="s">
        <v>44</v>
      </c>
      <c r="Y89" t="s">
        <v>336</v>
      </c>
      <c r="Z89" t="s">
        <v>338</v>
      </c>
      <c r="AA89" t="s">
        <v>68</v>
      </c>
      <c r="AB89" t="s">
        <v>47</v>
      </c>
      <c r="AC89">
        <v>12266802</v>
      </c>
      <c r="AD89" s="13">
        <v>46173</v>
      </c>
      <c r="AE89" s="14" t="s">
        <v>48</v>
      </c>
      <c r="AF89" s="13">
        <v>46188</v>
      </c>
      <c r="AG89">
        <v>20260536</v>
      </c>
      <c r="AH89">
        <v>0</v>
      </c>
      <c r="AI89" s="15">
        <f t="shared" si="28"/>
        <v>364425</v>
      </c>
      <c r="AJ89" t="s">
        <v>339</v>
      </c>
    </row>
    <row r="90" spans="1:36">
      <c r="A90" t="s">
        <v>89</v>
      </c>
      <c r="B90" t="s">
        <v>36</v>
      </c>
      <c r="C90" t="s">
        <v>89</v>
      </c>
      <c r="D90" t="s">
        <v>340</v>
      </c>
      <c r="E90" s="18" t="s">
        <v>38</v>
      </c>
      <c r="F90" s="18" t="s">
        <v>341</v>
      </c>
      <c r="G90" t="s">
        <v>342</v>
      </c>
      <c r="H90" t="s">
        <v>41</v>
      </c>
      <c r="I90" s="8">
        <v>15000</v>
      </c>
      <c r="J90" s="8">
        <v>10</v>
      </c>
      <c r="K90" s="8"/>
      <c r="L90" s="8">
        <f t="shared" si="19"/>
        <v>10</v>
      </c>
      <c r="M90" s="9">
        <f t="shared" si="20"/>
        <v>150000</v>
      </c>
      <c r="N90" t="s">
        <v>342</v>
      </c>
      <c r="O90" t="s">
        <v>343</v>
      </c>
      <c r="P90" t="s">
        <v>77</v>
      </c>
      <c r="Q90" t="str">
        <f t="shared" si="26"/>
        <v>NETO</v>
      </c>
      <c r="R90" t="str">
        <f t="shared" si="27"/>
        <v>IMPUESTO</v>
      </c>
      <c r="S90" t="str">
        <f t="shared" si="25"/>
        <v>TOTAL</v>
      </c>
      <c r="T90" s="10">
        <f t="shared" si="21"/>
        <v>150000</v>
      </c>
      <c r="U90" s="11">
        <f t="shared" ref="U90:U104" si="32">+IF(P90="TRATO",0,IF(P90="BOLETA",13%,19%))</f>
        <v>0.19</v>
      </c>
      <c r="V90" s="12">
        <f t="shared" si="22"/>
        <v>28500</v>
      </c>
      <c r="W90" s="10">
        <f t="shared" si="23"/>
        <v>178500</v>
      </c>
      <c r="X90" s="10" t="s">
        <v>44</v>
      </c>
      <c r="Y90" t="s">
        <v>342</v>
      </c>
      <c r="Z90" t="s">
        <v>344</v>
      </c>
      <c r="AA90" t="s">
        <v>345</v>
      </c>
      <c r="AB90" t="s">
        <v>105</v>
      </c>
      <c r="AC90">
        <v>72055314</v>
      </c>
      <c r="AD90" s="13">
        <v>46173</v>
      </c>
      <c r="AE90" s="14" t="s">
        <v>48</v>
      </c>
      <c r="AF90" s="13">
        <v>46188</v>
      </c>
      <c r="AG90">
        <v>20260537</v>
      </c>
      <c r="AH90">
        <v>0</v>
      </c>
      <c r="AI90" s="15">
        <f t="shared" si="28"/>
        <v>178500</v>
      </c>
      <c r="AJ90" t="s">
        <v>346</v>
      </c>
    </row>
    <row r="91" spans="1:36">
      <c r="A91" t="s">
        <v>89</v>
      </c>
      <c r="B91" t="s">
        <v>36</v>
      </c>
      <c r="C91" t="s">
        <v>89</v>
      </c>
      <c r="D91" t="s">
        <v>347</v>
      </c>
      <c r="E91" s="18" t="s">
        <v>38</v>
      </c>
      <c r="F91" s="18" t="s">
        <v>341</v>
      </c>
      <c r="G91" t="s">
        <v>342</v>
      </c>
      <c r="H91" t="s">
        <v>41</v>
      </c>
      <c r="I91" s="8">
        <v>25000</v>
      </c>
      <c r="J91" s="8">
        <v>10</v>
      </c>
      <c r="K91" s="8"/>
      <c r="L91" s="8">
        <f t="shared" si="19"/>
        <v>10</v>
      </c>
      <c r="M91" s="9">
        <f t="shared" si="20"/>
        <v>250000</v>
      </c>
      <c r="N91" t="s">
        <v>342</v>
      </c>
      <c r="O91" t="s">
        <v>343</v>
      </c>
      <c r="P91" t="s">
        <v>77</v>
      </c>
      <c r="Q91" t="str">
        <f t="shared" si="26"/>
        <v>NETO</v>
      </c>
      <c r="R91" t="str">
        <f t="shared" si="27"/>
        <v>IMPUESTO</v>
      </c>
      <c r="S91" t="str">
        <f t="shared" si="25"/>
        <v>TOTAL</v>
      </c>
      <c r="T91" s="10">
        <f t="shared" si="21"/>
        <v>250000</v>
      </c>
      <c r="U91" s="11">
        <f t="shared" si="32"/>
        <v>0.19</v>
      </c>
      <c r="V91" s="12">
        <f t="shared" si="22"/>
        <v>47500</v>
      </c>
      <c r="W91" s="10">
        <f t="shared" si="23"/>
        <v>297500</v>
      </c>
      <c r="X91" s="10" t="s">
        <v>44</v>
      </c>
      <c r="Y91" t="s">
        <v>342</v>
      </c>
      <c r="Z91" t="s">
        <v>344</v>
      </c>
      <c r="AA91" t="s">
        <v>345</v>
      </c>
      <c r="AB91" t="s">
        <v>105</v>
      </c>
      <c r="AC91">
        <v>72055314</v>
      </c>
      <c r="AD91" s="13">
        <v>46173</v>
      </c>
      <c r="AE91" s="14" t="s">
        <v>48</v>
      </c>
      <c r="AF91" s="13">
        <v>46188</v>
      </c>
      <c r="AG91">
        <v>20260537</v>
      </c>
      <c r="AH91">
        <v>0</v>
      </c>
      <c r="AI91" s="15">
        <f t="shared" si="28"/>
        <v>297500</v>
      </c>
      <c r="AJ91" t="s">
        <v>346</v>
      </c>
    </row>
    <row r="92" spans="1:36">
      <c r="A92" t="s">
        <v>89</v>
      </c>
      <c r="B92" t="s">
        <v>36</v>
      </c>
      <c r="C92" t="s">
        <v>89</v>
      </c>
      <c r="D92" t="s">
        <v>348</v>
      </c>
      <c r="E92" s="18" t="s">
        <v>38</v>
      </c>
      <c r="F92" s="18" t="s">
        <v>341</v>
      </c>
      <c r="G92" t="s">
        <v>342</v>
      </c>
      <c r="H92" t="s">
        <v>41</v>
      </c>
      <c r="I92" s="8">
        <v>20000</v>
      </c>
      <c r="J92" s="8">
        <v>10</v>
      </c>
      <c r="K92" s="8"/>
      <c r="L92" s="8">
        <f t="shared" si="19"/>
        <v>10</v>
      </c>
      <c r="M92" s="9">
        <f t="shared" si="20"/>
        <v>200000</v>
      </c>
      <c r="N92" t="s">
        <v>342</v>
      </c>
      <c r="O92" t="s">
        <v>343</v>
      </c>
      <c r="P92" t="s">
        <v>77</v>
      </c>
      <c r="Q92" t="str">
        <f t="shared" si="26"/>
        <v>NETO</v>
      </c>
      <c r="R92" t="str">
        <f t="shared" si="27"/>
        <v>IMPUESTO</v>
      </c>
      <c r="S92" t="str">
        <f t="shared" si="25"/>
        <v>TOTAL</v>
      </c>
      <c r="T92" s="10">
        <f t="shared" si="21"/>
        <v>200000</v>
      </c>
      <c r="U92" s="11">
        <f t="shared" si="32"/>
        <v>0.19</v>
      </c>
      <c r="V92" s="12">
        <f t="shared" si="22"/>
        <v>38000</v>
      </c>
      <c r="W92" s="10">
        <f t="shared" si="23"/>
        <v>238000</v>
      </c>
      <c r="X92" s="10" t="s">
        <v>44</v>
      </c>
      <c r="Y92" t="s">
        <v>342</v>
      </c>
      <c r="Z92" t="s">
        <v>344</v>
      </c>
      <c r="AA92" t="s">
        <v>345</v>
      </c>
      <c r="AB92" t="s">
        <v>105</v>
      </c>
      <c r="AC92">
        <v>72055314</v>
      </c>
      <c r="AD92" s="13">
        <v>46173</v>
      </c>
      <c r="AE92" s="14" t="s">
        <v>48</v>
      </c>
      <c r="AF92" s="13">
        <v>46188</v>
      </c>
      <c r="AG92">
        <v>20260537</v>
      </c>
      <c r="AH92">
        <v>0</v>
      </c>
      <c r="AI92" s="15">
        <f t="shared" si="28"/>
        <v>238000</v>
      </c>
      <c r="AJ92" t="s">
        <v>346</v>
      </c>
    </row>
    <row r="93" spans="1:36">
      <c r="A93" t="s">
        <v>89</v>
      </c>
      <c r="B93" t="s">
        <v>36</v>
      </c>
      <c r="C93" t="s">
        <v>89</v>
      </c>
      <c r="D93" t="s">
        <v>349</v>
      </c>
      <c r="E93" s="18" t="s">
        <v>38</v>
      </c>
      <c r="F93" s="18" t="s">
        <v>341</v>
      </c>
      <c r="G93" t="s">
        <v>342</v>
      </c>
      <c r="H93" t="s">
        <v>41</v>
      </c>
      <c r="I93" s="8">
        <v>15000</v>
      </c>
      <c r="J93" s="8">
        <v>10</v>
      </c>
      <c r="K93" s="8"/>
      <c r="L93" s="8">
        <f t="shared" si="19"/>
        <v>10</v>
      </c>
      <c r="M93" s="9">
        <f t="shared" si="20"/>
        <v>150000</v>
      </c>
      <c r="N93" t="s">
        <v>342</v>
      </c>
      <c r="O93" t="s">
        <v>343</v>
      </c>
      <c r="P93" t="s">
        <v>77</v>
      </c>
      <c r="Q93" t="str">
        <f t="shared" si="26"/>
        <v>NETO</v>
      </c>
      <c r="R93" t="str">
        <f t="shared" si="27"/>
        <v>IMPUESTO</v>
      </c>
      <c r="S93" t="str">
        <f t="shared" si="25"/>
        <v>TOTAL</v>
      </c>
      <c r="T93" s="10">
        <f t="shared" si="21"/>
        <v>150000</v>
      </c>
      <c r="U93" s="11">
        <f t="shared" si="32"/>
        <v>0.19</v>
      </c>
      <c r="V93" s="12">
        <f t="shared" si="22"/>
        <v>28500</v>
      </c>
      <c r="W93" s="10">
        <f t="shared" si="23"/>
        <v>178500</v>
      </c>
      <c r="X93" s="10" t="s">
        <v>44</v>
      </c>
      <c r="Y93" t="s">
        <v>342</v>
      </c>
      <c r="Z93" t="s">
        <v>344</v>
      </c>
      <c r="AA93" t="s">
        <v>345</v>
      </c>
      <c r="AB93" t="s">
        <v>105</v>
      </c>
      <c r="AC93">
        <v>72055314</v>
      </c>
      <c r="AD93" s="13">
        <v>46173</v>
      </c>
      <c r="AE93" s="14" t="s">
        <v>48</v>
      </c>
      <c r="AF93" s="13">
        <v>46188</v>
      </c>
      <c r="AG93">
        <v>20260537</v>
      </c>
      <c r="AH93">
        <v>0</v>
      </c>
      <c r="AI93" s="15">
        <f t="shared" si="28"/>
        <v>178500</v>
      </c>
      <c r="AJ93" t="s">
        <v>346</v>
      </c>
    </row>
    <row r="94" spans="1:36">
      <c r="A94" t="s">
        <v>89</v>
      </c>
      <c r="B94" t="s">
        <v>36</v>
      </c>
      <c r="C94" t="s">
        <v>89</v>
      </c>
      <c r="D94" t="s">
        <v>350</v>
      </c>
      <c r="E94" s="18" t="s">
        <v>97</v>
      </c>
      <c r="F94" s="18" t="s">
        <v>341</v>
      </c>
      <c r="G94" t="s">
        <v>342</v>
      </c>
      <c r="H94" t="s">
        <v>176</v>
      </c>
      <c r="I94" s="8">
        <v>175000</v>
      </c>
      <c r="J94" s="8">
        <v>1</v>
      </c>
      <c r="K94" s="8"/>
      <c r="L94" s="8">
        <f t="shared" si="19"/>
        <v>1</v>
      </c>
      <c r="M94" s="9">
        <f>+I94*L94</f>
        <v>175000</v>
      </c>
      <c r="N94" t="s">
        <v>342</v>
      </c>
      <c r="O94" t="s">
        <v>343</v>
      </c>
      <c r="P94" t="s">
        <v>77</v>
      </c>
      <c r="Q94" t="str">
        <f t="shared" si="26"/>
        <v>NETO</v>
      </c>
      <c r="R94" t="str">
        <f t="shared" si="27"/>
        <v>IMPUESTO</v>
      </c>
      <c r="S94" t="str">
        <f t="shared" si="25"/>
        <v>TOTAL</v>
      </c>
      <c r="T94" s="10">
        <f t="shared" si="21"/>
        <v>175000</v>
      </c>
      <c r="U94" s="11">
        <f t="shared" si="32"/>
        <v>0.19</v>
      </c>
      <c r="V94" s="12">
        <f t="shared" si="22"/>
        <v>33250</v>
      </c>
      <c r="W94" s="10">
        <f t="shared" si="23"/>
        <v>208250</v>
      </c>
      <c r="X94" s="10" t="s">
        <v>44</v>
      </c>
      <c r="Y94" t="s">
        <v>342</v>
      </c>
      <c r="Z94" t="s">
        <v>344</v>
      </c>
      <c r="AA94" t="s">
        <v>345</v>
      </c>
      <c r="AB94" t="s">
        <v>105</v>
      </c>
      <c r="AC94">
        <v>72055314</v>
      </c>
      <c r="AD94" s="13">
        <v>46173</v>
      </c>
      <c r="AE94" s="14" t="s">
        <v>48</v>
      </c>
      <c r="AF94" s="13">
        <v>46188</v>
      </c>
      <c r="AG94">
        <v>20260537</v>
      </c>
      <c r="AH94">
        <v>0</v>
      </c>
      <c r="AI94" s="15">
        <f t="shared" si="28"/>
        <v>208250</v>
      </c>
      <c r="AJ94" t="s">
        <v>346</v>
      </c>
    </row>
    <row r="95" spans="1:36">
      <c r="A95" t="s">
        <v>89</v>
      </c>
      <c r="B95" t="s">
        <v>36</v>
      </c>
      <c r="C95" t="s">
        <v>89</v>
      </c>
      <c r="D95" t="s">
        <v>351</v>
      </c>
      <c r="E95" s="18" t="s">
        <v>38</v>
      </c>
      <c r="F95" s="18" t="s">
        <v>341</v>
      </c>
      <c r="G95" t="s">
        <v>342</v>
      </c>
      <c r="H95" t="s">
        <v>41</v>
      </c>
      <c r="I95" s="8">
        <v>25000</v>
      </c>
      <c r="J95" s="8">
        <v>10</v>
      </c>
      <c r="K95" s="8"/>
      <c r="L95" s="8">
        <f t="shared" si="19"/>
        <v>10</v>
      </c>
      <c r="M95" s="9">
        <f t="shared" ref="M95" si="33">+I95*L95</f>
        <v>250000</v>
      </c>
      <c r="N95" t="s">
        <v>342</v>
      </c>
      <c r="O95" t="s">
        <v>343</v>
      </c>
      <c r="P95" t="s">
        <v>77</v>
      </c>
      <c r="Q95" t="str">
        <f t="shared" si="26"/>
        <v>NETO</v>
      </c>
      <c r="R95" t="str">
        <f t="shared" si="27"/>
        <v>IMPUESTO</v>
      </c>
      <c r="S95" t="str">
        <f t="shared" si="25"/>
        <v>TOTAL</v>
      </c>
      <c r="T95" s="10">
        <f t="shared" si="21"/>
        <v>250000</v>
      </c>
      <c r="U95" s="11">
        <f t="shared" si="32"/>
        <v>0.19</v>
      </c>
      <c r="V95" s="12">
        <f t="shared" si="22"/>
        <v>47500</v>
      </c>
      <c r="W95" s="10">
        <f t="shared" si="23"/>
        <v>297500</v>
      </c>
      <c r="X95" s="10" t="s">
        <v>44</v>
      </c>
      <c r="Y95" t="s">
        <v>342</v>
      </c>
      <c r="Z95" t="s">
        <v>344</v>
      </c>
      <c r="AA95" t="s">
        <v>345</v>
      </c>
      <c r="AB95" t="s">
        <v>105</v>
      </c>
      <c r="AC95">
        <v>72055314</v>
      </c>
      <c r="AD95" s="13">
        <v>46173</v>
      </c>
      <c r="AE95" s="14" t="s">
        <v>48</v>
      </c>
      <c r="AF95" s="13">
        <v>46188</v>
      </c>
      <c r="AG95">
        <v>20260537</v>
      </c>
      <c r="AH95">
        <v>0</v>
      </c>
      <c r="AI95" s="15">
        <f t="shared" si="28"/>
        <v>297500</v>
      </c>
      <c r="AJ95" t="s">
        <v>346</v>
      </c>
    </row>
    <row r="96" spans="1:36">
      <c r="A96" t="s">
        <v>89</v>
      </c>
      <c r="B96" t="s">
        <v>36</v>
      </c>
      <c r="C96" t="s">
        <v>89</v>
      </c>
      <c r="D96" t="s">
        <v>352</v>
      </c>
      <c r="E96" s="18" t="s">
        <v>38</v>
      </c>
      <c r="F96" s="18" t="s">
        <v>341</v>
      </c>
      <c r="G96" t="s">
        <v>342</v>
      </c>
      <c r="H96" t="s">
        <v>41</v>
      </c>
      <c r="I96" s="8">
        <v>15000</v>
      </c>
      <c r="J96" s="8">
        <v>10</v>
      </c>
      <c r="K96" s="8"/>
      <c r="L96" s="8">
        <f t="shared" ref="L96:L102" si="34">+J96-K96</f>
        <v>10</v>
      </c>
      <c r="M96" s="9">
        <f t="shared" ref="M96:M137" si="35">+I96*L96</f>
        <v>150000</v>
      </c>
      <c r="N96" t="s">
        <v>342</v>
      </c>
      <c r="O96" t="s">
        <v>343</v>
      </c>
      <c r="P96" t="s">
        <v>77</v>
      </c>
      <c r="Q96" t="str">
        <f t="shared" si="26"/>
        <v>NETO</v>
      </c>
      <c r="R96" t="str">
        <f t="shared" si="27"/>
        <v>IMPUESTO</v>
      </c>
      <c r="S96" t="str">
        <f t="shared" si="25"/>
        <v>TOTAL</v>
      </c>
      <c r="T96" s="10">
        <f t="shared" ref="T96:T137" si="36">+M96</f>
        <v>150000</v>
      </c>
      <c r="U96" s="11">
        <f t="shared" si="32"/>
        <v>0.19</v>
      </c>
      <c r="V96" s="12">
        <f t="shared" ref="V96:V137" si="37">+T96*U96</f>
        <v>28500</v>
      </c>
      <c r="W96" s="10">
        <f t="shared" ref="W96:W137" si="38">+IF(P96="BOLETA",INT(T96-V96),IF(P96="FACTURA EXENTA",INT(T96),INT(T96+V96)))</f>
        <v>178500</v>
      </c>
      <c r="X96" s="10" t="s">
        <v>44</v>
      </c>
      <c r="Y96" t="s">
        <v>342</v>
      </c>
      <c r="Z96" t="s">
        <v>344</v>
      </c>
      <c r="AA96" t="s">
        <v>345</v>
      </c>
      <c r="AB96" t="s">
        <v>105</v>
      </c>
      <c r="AC96">
        <v>72055314</v>
      </c>
      <c r="AD96" s="13">
        <v>46173</v>
      </c>
      <c r="AE96" s="14" t="s">
        <v>48</v>
      </c>
      <c r="AF96" s="13">
        <v>46188</v>
      </c>
      <c r="AG96">
        <v>20260537</v>
      </c>
      <c r="AH96">
        <v>0</v>
      </c>
      <c r="AI96" s="15">
        <f t="shared" si="28"/>
        <v>178500</v>
      </c>
      <c r="AJ96" t="s">
        <v>346</v>
      </c>
    </row>
    <row r="97" spans="1:36">
      <c r="A97" t="s">
        <v>89</v>
      </c>
      <c r="B97" t="s">
        <v>36</v>
      </c>
      <c r="C97" t="s">
        <v>89</v>
      </c>
      <c r="D97" t="s">
        <v>353</v>
      </c>
      <c r="E97" s="18" t="s">
        <v>38</v>
      </c>
      <c r="F97" s="18" t="s">
        <v>341</v>
      </c>
      <c r="G97" t="s">
        <v>342</v>
      </c>
      <c r="H97" t="s">
        <v>41</v>
      </c>
      <c r="I97" s="8">
        <v>30000</v>
      </c>
      <c r="J97" s="8">
        <v>10</v>
      </c>
      <c r="K97" s="8"/>
      <c r="L97" s="8">
        <f t="shared" si="34"/>
        <v>10</v>
      </c>
      <c r="M97" s="9">
        <f t="shared" si="35"/>
        <v>300000</v>
      </c>
      <c r="N97" t="s">
        <v>342</v>
      </c>
      <c r="O97" t="s">
        <v>343</v>
      </c>
      <c r="P97" t="s">
        <v>77</v>
      </c>
      <c r="Q97" t="str">
        <f t="shared" si="26"/>
        <v>NETO</v>
      </c>
      <c r="R97" t="str">
        <f t="shared" si="27"/>
        <v>IMPUESTO</v>
      </c>
      <c r="S97" t="str">
        <f t="shared" si="25"/>
        <v>TOTAL</v>
      </c>
      <c r="T97" s="10">
        <f t="shared" si="36"/>
        <v>300000</v>
      </c>
      <c r="U97" s="11">
        <f t="shared" si="32"/>
        <v>0.19</v>
      </c>
      <c r="V97" s="12">
        <f t="shared" si="37"/>
        <v>57000</v>
      </c>
      <c r="W97" s="10">
        <f t="shared" si="38"/>
        <v>357000</v>
      </c>
      <c r="X97" s="10" t="s">
        <v>44</v>
      </c>
      <c r="Y97" t="s">
        <v>342</v>
      </c>
      <c r="Z97" t="s">
        <v>344</v>
      </c>
      <c r="AA97" t="s">
        <v>345</v>
      </c>
      <c r="AB97" t="s">
        <v>105</v>
      </c>
      <c r="AC97">
        <v>72055314</v>
      </c>
      <c r="AD97" s="13">
        <v>46173</v>
      </c>
      <c r="AE97" s="14" t="s">
        <v>48</v>
      </c>
      <c r="AF97" s="13">
        <v>46188</v>
      </c>
      <c r="AG97">
        <v>20260537</v>
      </c>
      <c r="AH97">
        <v>0</v>
      </c>
      <c r="AI97" s="15">
        <f t="shared" si="28"/>
        <v>357000</v>
      </c>
      <c r="AJ97" t="s">
        <v>346</v>
      </c>
    </row>
    <row r="98" spans="1:36">
      <c r="A98" t="s">
        <v>89</v>
      </c>
      <c r="B98" t="s">
        <v>36</v>
      </c>
      <c r="C98" t="s">
        <v>89</v>
      </c>
      <c r="D98" t="s">
        <v>354</v>
      </c>
      <c r="E98" s="18" t="s">
        <v>38</v>
      </c>
      <c r="F98" s="18" t="s">
        <v>341</v>
      </c>
      <c r="G98" t="s">
        <v>342</v>
      </c>
      <c r="H98" t="s">
        <v>41</v>
      </c>
      <c r="I98" s="8">
        <v>25000</v>
      </c>
      <c r="J98" s="8">
        <v>10</v>
      </c>
      <c r="K98" s="8"/>
      <c r="L98" s="8">
        <f t="shared" si="34"/>
        <v>10</v>
      </c>
      <c r="M98" s="9">
        <f t="shared" si="35"/>
        <v>250000</v>
      </c>
      <c r="N98" t="s">
        <v>342</v>
      </c>
      <c r="O98" t="s">
        <v>343</v>
      </c>
      <c r="P98" t="s">
        <v>77</v>
      </c>
      <c r="Q98" t="str">
        <f t="shared" si="26"/>
        <v>NETO</v>
      </c>
      <c r="R98" t="str">
        <f t="shared" si="27"/>
        <v>IMPUESTO</v>
      </c>
      <c r="S98" t="str">
        <f t="shared" si="25"/>
        <v>TOTAL</v>
      </c>
      <c r="T98" s="10">
        <f t="shared" si="36"/>
        <v>250000</v>
      </c>
      <c r="U98" s="11">
        <f t="shared" si="32"/>
        <v>0.19</v>
      </c>
      <c r="V98" s="12">
        <f t="shared" si="37"/>
        <v>47500</v>
      </c>
      <c r="W98" s="10">
        <f t="shared" si="38"/>
        <v>297500</v>
      </c>
      <c r="X98" s="10" t="s">
        <v>44</v>
      </c>
      <c r="Y98" t="s">
        <v>342</v>
      </c>
      <c r="Z98" t="s">
        <v>344</v>
      </c>
      <c r="AA98" t="s">
        <v>345</v>
      </c>
      <c r="AB98" t="s">
        <v>105</v>
      </c>
      <c r="AC98">
        <v>72055314</v>
      </c>
      <c r="AD98" s="13">
        <v>46173</v>
      </c>
      <c r="AE98" s="14" t="s">
        <v>48</v>
      </c>
      <c r="AF98" s="13">
        <v>46188</v>
      </c>
      <c r="AG98">
        <v>20260537</v>
      </c>
      <c r="AH98">
        <v>0</v>
      </c>
      <c r="AI98" s="15">
        <f t="shared" ref="AI98:AI129" si="39">+W98-AH98</f>
        <v>297500</v>
      </c>
      <c r="AJ98" t="s">
        <v>346</v>
      </c>
    </row>
    <row r="99" spans="1:36">
      <c r="A99" t="s">
        <v>89</v>
      </c>
      <c r="B99" t="s">
        <v>36</v>
      </c>
      <c r="C99" t="s">
        <v>89</v>
      </c>
      <c r="D99" t="s">
        <v>355</v>
      </c>
      <c r="E99" s="18" t="s">
        <v>38</v>
      </c>
      <c r="F99" s="18" t="s">
        <v>341</v>
      </c>
      <c r="G99" t="s">
        <v>342</v>
      </c>
      <c r="H99" t="s">
        <v>41</v>
      </c>
      <c r="I99" s="8">
        <v>30000</v>
      </c>
      <c r="J99" s="8">
        <v>10</v>
      </c>
      <c r="K99" s="8"/>
      <c r="L99" s="8">
        <f t="shared" si="34"/>
        <v>10</v>
      </c>
      <c r="M99" s="9">
        <f t="shared" si="35"/>
        <v>300000</v>
      </c>
      <c r="N99" t="s">
        <v>342</v>
      </c>
      <c r="O99" t="s">
        <v>343</v>
      </c>
      <c r="P99" t="s">
        <v>77</v>
      </c>
      <c r="Q99" t="str">
        <f t="shared" si="26"/>
        <v>NETO</v>
      </c>
      <c r="R99" t="str">
        <f t="shared" si="27"/>
        <v>IMPUESTO</v>
      </c>
      <c r="S99" t="str">
        <f t="shared" si="25"/>
        <v>TOTAL</v>
      </c>
      <c r="T99" s="10">
        <f t="shared" si="36"/>
        <v>300000</v>
      </c>
      <c r="U99" s="11">
        <f t="shared" si="32"/>
        <v>0.19</v>
      </c>
      <c r="V99" s="12">
        <f t="shared" si="37"/>
        <v>57000</v>
      </c>
      <c r="W99" s="10">
        <f t="shared" si="38"/>
        <v>357000</v>
      </c>
      <c r="X99" s="10" t="s">
        <v>44</v>
      </c>
      <c r="Y99" t="s">
        <v>342</v>
      </c>
      <c r="Z99" t="s">
        <v>344</v>
      </c>
      <c r="AA99" t="s">
        <v>345</v>
      </c>
      <c r="AB99" t="s">
        <v>105</v>
      </c>
      <c r="AC99">
        <v>72055314</v>
      </c>
      <c r="AD99" s="13">
        <v>46173</v>
      </c>
      <c r="AE99" s="14" t="s">
        <v>48</v>
      </c>
      <c r="AF99" s="13">
        <v>46188</v>
      </c>
      <c r="AG99">
        <v>20260537</v>
      </c>
      <c r="AH99">
        <v>0</v>
      </c>
      <c r="AI99" s="15">
        <f t="shared" si="39"/>
        <v>357000</v>
      </c>
      <c r="AJ99" t="s">
        <v>346</v>
      </c>
    </row>
    <row r="100" spans="1:36">
      <c r="A100" t="s">
        <v>89</v>
      </c>
      <c r="B100" t="s">
        <v>36</v>
      </c>
      <c r="C100" t="s">
        <v>89</v>
      </c>
      <c r="D100" t="s">
        <v>356</v>
      </c>
      <c r="E100" s="18" t="s">
        <v>38</v>
      </c>
      <c r="F100" s="18" t="s">
        <v>357</v>
      </c>
      <c r="G100" t="s">
        <v>358</v>
      </c>
      <c r="H100" t="s">
        <v>41</v>
      </c>
      <c r="I100" s="8">
        <v>43000</v>
      </c>
      <c r="J100" s="8">
        <v>10</v>
      </c>
      <c r="K100" s="8"/>
      <c r="L100" s="8">
        <f t="shared" si="34"/>
        <v>10</v>
      </c>
      <c r="M100" s="9">
        <f t="shared" si="35"/>
        <v>430000</v>
      </c>
      <c r="N100" t="s">
        <v>359</v>
      </c>
      <c r="O100" t="s">
        <v>360</v>
      </c>
      <c r="P100" t="s">
        <v>77</v>
      </c>
      <c r="Q100" t="str">
        <f t="shared" si="26"/>
        <v>NETO</v>
      </c>
      <c r="R100" t="str">
        <f t="shared" si="27"/>
        <v>IMPUESTO</v>
      </c>
      <c r="S100" t="str">
        <f t="shared" si="25"/>
        <v>TOTAL</v>
      </c>
      <c r="T100" s="10">
        <f t="shared" si="36"/>
        <v>430000</v>
      </c>
      <c r="U100" s="11">
        <f t="shared" si="32"/>
        <v>0.19</v>
      </c>
      <c r="V100" s="12">
        <f t="shared" si="37"/>
        <v>81700</v>
      </c>
      <c r="W100" s="10">
        <f t="shared" si="38"/>
        <v>511700</v>
      </c>
      <c r="X100" s="10" t="s">
        <v>44</v>
      </c>
      <c r="Y100" t="s">
        <v>359</v>
      </c>
      <c r="Z100" t="s">
        <v>361</v>
      </c>
      <c r="AA100" t="s">
        <v>68</v>
      </c>
      <c r="AB100" t="s">
        <v>47</v>
      </c>
      <c r="AC100">
        <v>9579144</v>
      </c>
      <c r="AD100" s="13">
        <v>46173</v>
      </c>
      <c r="AE100" s="14" t="s">
        <v>48</v>
      </c>
      <c r="AF100" s="13">
        <v>46188</v>
      </c>
      <c r="AG100">
        <v>20260538</v>
      </c>
      <c r="AH100">
        <v>0</v>
      </c>
      <c r="AI100" s="15">
        <f t="shared" si="39"/>
        <v>511700</v>
      </c>
      <c r="AJ100" t="s">
        <v>362</v>
      </c>
    </row>
    <row r="101" spans="1:36">
      <c r="A101" t="s">
        <v>50</v>
      </c>
      <c r="B101" t="s">
        <v>36</v>
      </c>
      <c r="C101" t="s">
        <v>50</v>
      </c>
      <c r="D101" t="s">
        <v>173</v>
      </c>
      <c r="E101" s="18" t="s">
        <v>38</v>
      </c>
      <c r="F101" s="18" t="s">
        <v>328</v>
      </c>
      <c r="G101" t="s">
        <v>332</v>
      </c>
      <c r="H101" t="s">
        <v>176</v>
      </c>
      <c r="I101" s="8">
        <v>35000</v>
      </c>
      <c r="J101" s="8">
        <v>10</v>
      </c>
      <c r="K101" s="8"/>
      <c r="L101" s="8">
        <f t="shared" si="34"/>
        <v>10</v>
      </c>
      <c r="M101" s="9">
        <f t="shared" si="35"/>
        <v>350000</v>
      </c>
      <c r="N101" t="s">
        <v>330</v>
      </c>
      <c r="O101" t="s">
        <v>331</v>
      </c>
      <c r="P101" t="s">
        <v>77</v>
      </c>
      <c r="Q101" t="str">
        <f t="shared" si="26"/>
        <v>NETO</v>
      </c>
      <c r="R101" t="str">
        <f t="shared" si="27"/>
        <v>IMPUESTO</v>
      </c>
      <c r="S101" t="str">
        <f t="shared" si="25"/>
        <v>TOTAL</v>
      </c>
      <c r="T101" s="10">
        <f t="shared" si="36"/>
        <v>350000</v>
      </c>
      <c r="U101" s="11">
        <f t="shared" si="32"/>
        <v>0.19</v>
      </c>
      <c r="V101" s="12">
        <f t="shared" si="37"/>
        <v>66500</v>
      </c>
      <c r="W101" s="10">
        <f t="shared" si="38"/>
        <v>416500</v>
      </c>
      <c r="X101" s="10" t="s">
        <v>44</v>
      </c>
      <c r="Y101" t="s">
        <v>332</v>
      </c>
      <c r="Z101" t="s">
        <v>333</v>
      </c>
      <c r="AA101" t="s">
        <v>68</v>
      </c>
      <c r="AB101" t="s">
        <v>47</v>
      </c>
      <c r="AC101">
        <v>13692859</v>
      </c>
      <c r="AD101" s="13">
        <v>46173</v>
      </c>
      <c r="AE101" s="14" t="s">
        <v>48</v>
      </c>
      <c r="AF101" s="13">
        <v>46188</v>
      </c>
      <c r="AG101">
        <v>20260539</v>
      </c>
      <c r="AH101">
        <v>0</v>
      </c>
      <c r="AI101" s="15">
        <f t="shared" si="39"/>
        <v>416500</v>
      </c>
      <c r="AJ101" t="s">
        <v>363</v>
      </c>
    </row>
    <row r="102" spans="1:36">
      <c r="A102" t="s">
        <v>50</v>
      </c>
      <c r="B102" t="s">
        <v>36</v>
      </c>
      <c r="C102" t="s">
        <v>50</v>
      </c>
      <c r="D102" t="s">
        <v>364</v>
      </c>
      <c r="E102" s="18" t="s">
        <v>38</v>
      </c>
      <c r="F102" s="18" t="s">
        <v>328</v>
      </c>
      <c r="G102" t="s">
        <v>332</v>
      </c>
      <c r="H102" t="s">
        <v>41</v>
      </c>
      <c r="I102" s="8">
        <v>30000</v>
      </c>
      <c r="J102" s="8">
        <v>10</v>
      </c>
      <c r="K102" s="8"/>
      <c r="L102" s="8">
        <f t="shared" si="34"/>
        <v>10</v>
      </c>
      <c r="M102" s="9">
        <f t="shared" si="35"/>
        <v>300000</v>
      </c>
      <c r="N102" t="s">
        <v>330</v>
      </c>
      <c r="O102" t="s">
        <v>331</v>
      </c>
      <c r="P102" t="s">
        <v>77</v>
      </c>
      <c r="Q102" t="str">
        <f t="shared" si="26"/>
        <v>NETO</v>
      </c>
      <c r="R102" t="str">
        <f t="shared" si="27"/>
        <v>IMPUESTO</v>
      </c>
      <c r="S102" t="str">
        <f t="shared" si="25"/>
        <v>TOTAL</v>
      </c>
      <c r="T102" s="10">
        <f t="shared" si="36"/>
        <v>300000</v>
      </c>
      <c r="U102" s="11">
        <f t="shared" si="32"/>
        <v>0.19</v>
      </c>
      <c r="V102" s="12">
        <f t="shared" si="37"/>
        <v>57000</v>
      </c>
      <c r="W102" s="10">
        <f t="shared" si="38"/>
        <v>357000</v>
      </c>
      <c r="X102" s="10" t="s">
        <v>44</v>
      </c>
      <c r="Y102" t="s">
        <v>332</v>
      </c>
      <c r="Z102" t="s">
        <v>333</v>
      </c>
      <c r="AA102" t="s">
        <v>68</v>
      </c>
      <c r="AB102" t="s">
        <v>47</v>
      </c>
      <c r="AC102">
        <v>13692859</v>
      </c>
      <c r="AD102" s="13">
        <v>46173</v>
      </c>
      <c r="AE102" s="14" t="s">
        <v>48</v>
      </c>
      <c r="AF102" s="13">
        <v>46188</v>
      </c>
      <c r="AG102">
        <v>20260539</v>
      </c>
      <c r="AH102">
        <v>0</v>
      </c>
      <c r="AI102" s="15">
        <f t="shared" si="39"/>
        <v>357000</v>
      </c>
      <c r="AJ102" t="s">
        <v>363</v>
      </c>
    </row>
    <row r="103" spans="1:36">
      <c r="A103" t="s">
        <v>50</v>
      </c>
      <c r="B103" t="s">
        <v>36</v>
      </c>
      <c r="C103" t="s">
        <v>50</v>
      </c>
      <c r="D103" t="s">
        <v>365</v>
      </c>
      <c r="E103" s="18" t="s">
        <v>366</v>
      </c>
      <c r="F103" s="18" t="s">
        <v>328</v>
      </c>
      <c r="G103" t="s">
        <v>332</v>
      </c>
      <c r="H103" t="s">
        <v>41</v>
      </c>
      <c r="I103" s="8">
        <f>31000+15000+14500</f>
        <v>60500</v>
      </c>
      <c r="J103" s="8">
        <v>1</v>
      </c>
      <c r="K103" s="8"/>
      <c r="L103" s="8">
        <v>2</v>
      </c>
      <c r="M103" s="9">
        <f t="shared" si="35"/>
        <v>121000</v>
      </c>
      <c r="N103" t="s">
        <v>330</v>
      </c>
      <c r="O103" t="s">
        <v>331</v>
      </c>
      <c r="P103" t="s">
        <v>77</v>
      </c>
      <c r="Q103" t="str">
        <f t="shared" si="26"/>
        <v>NETO</v>
      </c>
      <c r="R103" t="str">
        <f t="shared" si="27"/>
        <v>IMPUESTO</v>
      </c>
      <c r="S103" t="str">
        <f t="shared" si="25"/>
        <v>TOTAL</v>
      </c>
      <c r="T103" s="10">
        <f t="shared" si="36"/>
        <v>121000</v>
      </c>
      <c r="U103" s="11">
        <f t="shared" si="32"/>
        <v>0.19</v>
      </c>
      <c r="V103" s="12">
        <f t="shared" si="37"/>
        <v>22990</v>
      </c>
      <c r="W103" s="10">
        <f t="shared" si="38"/>
        <v>143990</v>
      </c>
      <c r="X103" s="10" t="s">
        <v>44</v>
      </c>
      <c r="Y103" t="s">
        <v>332</v>
      </c>
      <c r="Z103" t="s">
        <v>333</v>
      </c>
      <c r="AA103" t="s">
        <v>68</v>
      </c>
      <c r="AB103" t="s">
        <v>47</v>
      </c>
      <c r="AC103">
        <v>13692859</v>
      </c>
      <c r="AD103" s="13">
        <v>46173</v>
      </c>
      <c r="AE103" s="14" t="s">
        <v>48</v>
      </c>
      <c r="AF103" s="13">
        <v>46188</v>
      </c>
      <c r="AG103">
        <v>20260539</v>
      </c>
      <c r="AH103">
        <v>0</v>
      </c>
      <c r="AI103" s="15">
        <f t="shared" si="39"/>
        <v>143990</v>
      </c>
      <c r="AJ103" t="s">
        <v>363</v>
      </c>
    </row>
    <row r="104" spans="1:36">
      <c r="A104" t="s">
        <v>50</v>
      </c>
      <c r="B104" t="s">
        <v>36</v>
      </c>
      <c r="C104" t="s">
        <v>50</v>
      </c>
      <c r="D104" t="s">
        <v>367</v>
      </c>
      <c r="E104" s="18" t="s">
        <v>38</v>
      </c>
      <c r="F104" s="18" t="s">
        <v>328</v>
      </c>
      <c r="G104" t="s">
        <v>368</v>
      </c>
      <c r="H104" t="s">
        <v>41</v>
      </c>
      <c r="I104" s="8">
        <v>14000</v>
      </c>
      <c r="J104" s="8">
        <v>10</v>
      </c>
      <c r="K104" s="8"/>
      <c r="L104" s="8">
        <f t="shared" ref="L104:L146" si="40">+J104-K104</f>
        <v>10</v>
      </c>
      <c r="M104" s="9">
        <f t="shared" si="35"/>
        <v>140000</v>
      </c>
      <c r="N104" t="s">
        <v>330</v>
      </c>
      <c r="O104" t="s">
        <v>331</v>
      </c>
      <c r="P104" t="s">
        <v>77</v>
      </c>
      <c r="Q104" t="str">
        <f t="shared" si="26"/>
        <v>NETO</v>
      </c>
      <c r="R104" t="str">
        <f t="shared" si="27"/>
        <v>IMPUESTO</v>
      </c>
      <c r="S104" t="str">
        <f t="shared" si="25"/>
        <v>TOTAL</v>
      </c>
      <c r="T104" s="10">
        <f t="shared" si="36"/>
        <v>140000</v>
      </c>
      <c r="U104" s="11">
        <f t="shared" si="32"/>
        <v>0.19</v>
      </c>
      <c r="V104" s="12">
        <f t="shared" si="37"/>
        <v>26600</v>
      </c>
      <c r="W104" s="10">
        <f t="shared" si="38"/>
        <v>166600</v>
      </c>
      <c r="X104" s="10" t="s">
        <v>44</v>
      </c>
      <c r="Y104" t="s">
        <v>332</v>
      </c>
      <c r="Z104" t="s">
        <v>333</v>
      </c>
      <c r="AA104" t="s">
        <v>68</v>
      </c>
      <c r="AB104" t="s">
        <v>47</v>
      </c>
      <c r="AC104">
        <v>13692859</v>
      </c>
      <c r="AD104" s="13">
        <v>46173</v>
      </c>
      <c r="AE104" s="14" t="s">
        <v>48</v>
      </c>
      <c r="AF104" s="13">
        <v>46188</v>
      </c>
      <c r="AG104">
        <v>20260539</v>
      </c>
      <c r="AH104">
        <v>0</v>
      </c>
      <c r="AI104" s="15">
        <f t="shared" si="39"/>
        <v>166600</v>
      </c>
      <c r="AJ104" t="s">
        <v>363</v>
      </c>
    </row>
    <row r="105" spans="1:36">
      <c r="A105" t="s">
        <v>71</v>
      </c>
      <c r="B105" t="s">
        <v>36</v>
      </c>
      <c r="C105" t="s">
        <v>71</v>
      </c>
      <c r="D105" t="s">
        <v>369</v>
      </c>
      <c r="E105" s="18" t="s">
        <v>38</v>
      </c>
      <c r="F105" s="18" t="s">
        <v>370</v>
      </c>
      <c r="G105" t="s">
        <v>371</v>
      </c>
      <c r="H105" t="s">
        <v>41</v>
      </c>
      <c r="I105" s="8">
        <v>40000</v>
      </c>
      <c r="J105" s="8">
        <v>10</v>
      </c>
      <c r="K105" s="8"/>
      <c r="L105" s="8">
        <f t="shared" si="40"/>
        <v>10</v>
      </c>
      <c r="M105" s="9">
        <f t="shared" si="35"/>
        <v>400000</v>
      </c>
      <c r="N105" t="s">
        <v>371</v>
      </c>
      <c r="O105" t="s">
        <v>372</v>
      </c>
      <c r="P105" t="s">
        <v>43</v>
      </c>
      <c r="Q105" t="str">
        <f t="shared" si="26"/>
        <v>BRUTO</v>
      </c>
      <c r="R105" t="str">
        <f t="shared" si="27"/>
        <v>RETENCION</v>
      </c>
      <c r="S105" t="str">
        <f t="shared" si="25"/>
        <v>LIQUIDO A PAGAR</v>
      </c>
      <c r="T105" s="10">
        <f t="shared" si="36"/>
        <v>400000</v>
      </c>
      <c r="U105" s="11">
        <v>0.1525</v>
      </c>
      <c r="V105" s="12">
        <f t="shared" si="37"/>
        <v>61000</v>
      </c>
      <c r="W105" s="10">
        <f t="shared" si="38"/>
        <v>339000</v>
      </c>
      <c r="X105" s="10" t="s">
        <v>44</v>
      </c>
      <c r="Y105" t="s">
        <v>371</v>
      </c>
      <c r="Z105" t="s">
        <v>373</v>
      </c>
      <c r="AA105" t="s">
        <v>68</v>
      </c>
      <c r="AB105" t="s">
        <v>47</v>
      </c>
      <c r="AC105">
        <v>12638696</v>
      </c>
      <c r="AD105" s="13">
        <v>46173</v>
      </c>
      <c r="AE105" s="14" t="s">
        <v>48</v>
      </c>
      <c r="AF105" s="13">
        <v>46188</v>
      </c>
      <c r="AG105">
        <v>20260540</v>
      </c>
      <c r="AH105">
        <v>0</v>
      </c>
      <c r="AI105" s="15">
        <f t="shared" si="39"/>
        <v>339000</v>
      </c>
      <c r="AJ105" t="s">
        <v>374</v>
      </c>
    </row>
    <row r="106" spans="1:36">
      <c r="A106" t="s">
        <v>89</v>
      </c>
      <c r="B106" t="s">
        <v>36</v>
      </c>
      <c r="C106" t="s">
        <v>89</v>
      </c>
      <c r="D106" t="s">
        <v>375</v>
      </c>
      <c r="E106" s="18" t="s">
        <v>38</v>
      </c>
      <c r="F106" s="18" t="s">
        <v>376</v>
      </c>
      <c r="G106" t="s">
        <v>377</v>
      </c>
      <c r="H106" t="s">
        <v>41</v>
      </c>
      <c r="I106" s="8">
        <v>33000</v>
      </c>
      <c r="J106" s="8">
        <v>10</v>
      </c>
      <c r="K106" s="8"/>
      <c r="L106" s="8">
        <f t="shared" si="40"/>
        <v>10</v>
      </c>
      <c r="M106" s="9">
        <f t="shared" si="35"/>
        <v>330000</v>
      </c>
      <c r="N106" t="s">
        <v>378</v>
      </c>
      <c r="O106" t="s">
        <v>379</v>
      </c>
      <c r="P106" t="s">
        <v>77</v>
      </c>
      <c r="Q106" t="str">
        <f t="shared" si="26"/>
        <v>NETO</v>
      </c>
      <c r="R106" t="str">
        <f t="shared" si="27"/>
        <v>IMPUESTO</v>
      </c>
      <c r="S106" t="str">
        <f t="shared" si="25"/>
        <v>TOTAL</v>
      </c>
      <c r="T106" s="10">
        <f t="shared" si="36"/>
        <v>330000</v>
      </c>
      <c r="U106" s="11">
        <f>+IF(P106="TRATO",0,IF(P106="BOLETA",13%,19%))</f>
        <v>0.19</v>
      </c>
      <c r="V106" s="12">
        <f t="shared" si="37"/>
        <v>62700</v>
      </c>
      <c r="W106" s="10">
        <f t="shared" si="38"/>
        <v>392700</v>
      </c>
      <c r="X106" s="10" t="s">
        <v>44</v>
      </c>
      <c r="Y106" t="s">
        <v>380</v>
      </c>
      <c r="Z106" t="s">
        <v>381</v>
      </c>
      <c r="AA106" t="s">
        <v>68</v>
      </c>
      <c r="AB106" t="s">
        <v>47</v>
      </c>
      <c r="AC106">
        <v>15334093</v>
      </c>
      <c r="AD106" s="13">
        <v>46173</v>
      </c>
      <c r="AE106" s="14" t="s">
        <v>48</v>
      </c>
      <c r="AF106" s="13">
        <v>46188</v>
      </c>
      <c r="AG106">
        <v>20260541</v>
      </c>
      <c r="AH106">
        <v>0</v>
      </c>
      <c r="AI106" s="15">
        <f t="shared" si="39"/>
        <v>392700</v>
      </c>
      <c r="AJ106" t="s">
        <v>382</v>
      </c>
    </row>
    <row r="107" spans="1:36">
      <c r="A107" t="s">
        <v>89</v>
      </c>
      <c r="B107" t="s">
        <v>36</v>
      </c>
      <c r="C107" t="s">
        <v>89</v>
      </c>
      <c r="D107" t="s">
        <v>383</v>
      </c>
      <c r="E107" s="18" t="s">
        <v>38</v>
      </c>
      <c r="F107" s="18" t="s">
        <v>376</v>
      </c>
      <c r="G107" t="s">
        <v>377</v>
      </c>
      <c r="H107" t="s">
        <v>41</v>
      </c>
      <c r="I107" s="8">
        <v>48000</v>
      </c>
      <c r="J107" s="8">
        <v>10</v>
      </c>
      <c r="K107" s="8"/>
      <c r="L107" s="8">
        <f t="shared" si="40"/>
        <v>10</v>
      </c>
      <c r="M107" s="9">
        <f t="shared" si="35"/>
        <v>480000</v>
      </c>
      <c r="N107" t="s">
        <v>378</v>
      </c>
      <c r="O107" t="s">
        <v>379</v>
      </c>
      <c r="P107" t="s">
        <v>77</v>
      </c>
      <c r="Q107" t="str">
        <f t="shared" si="26"/>
        <v>NETO</v>
      </c>
      <c r="R107" t="str">
        <f t="shared" si="27"/>
        <v>IMPUESTO</v>
      </c>
      <c r="S107" t="str">
        <f t="shared" si="25"/>
        <v>TOTAL</v>
      </c>
      <c r="T107" s="10">
        <f t="shared" si="36"/>
        <v>480000</v>
      </c>
      <c r="U107" s="11">
        <f>+IF(P107="TRATO",0,IF(P107="BOLETA",13%,19%))</f>
        <v>0.19</v>
      </c>
      <c r="V107" s="12">
        <f t="shared" si="37"/>
        <v>91200</v>
      </c>
      <c r="W107" s="10">
        <f t="shared" si="38"/>
        <v>571200</v>
      </c>
      <c r="X107" s="10" t="s">
        <v>44</v>
      </c>
      <c r="Y107" t="s">
        <v>380</v>
      </c>
      <c r="Z107" t="s">
        <v>381</v>
      </c>
      <c r="AA107" t="s">
        <v>68</v>
      </c>
      <c r="AB107" t="s">
        <v>47</v>
      </c>
      <c r="AC107">
        <v>15334093</v>
      </c>
      <c r="AD107" s="13">
        <v>46173</v>
      </c>
      <c r="AE107" s="14" t="s">
        <v>48</v>
      </c>
      <c r="AF107" s="13">
        <v>46188</v>
      </c>
      <c r="AG107">
        <v>20260541</v>
      </c>
      <c r="AH107">
        <v>0</v>
      </c>
      <c r="AI107" s="15">
        <f t="shared" si="39"/>
        <v>571200</v>
      </c>
      <c r="AJ107" t="s">
        <v>382</v>
      </c>
    </row>
    <row r="108" spans="1:36">
      <c r="A108" t="s">
        <v>50</v>
      </c>
      <c r="B108" t="s">
        <v>36</v>
      </c>
      <c r="C108" t="s">
        <v>50</v>
      </c>
      <c r="D108" t="s">
        <v>384</v>
      </c>
      <c r="E108" s="18" t="s">
        <v>38</v>
      </c>
      <c r="F108" s="18" t="s">
        <v>385</v>
      </c>
      <c r="G108" t="s">
        <v>386</v>
      </c>
      <c r="H108" t="s">
        <v>41</v>
      </c>
      <c r="I108" s="8">
        <v>28000</v>
      </c>
      <c r="J108" s="8">
        <v>10</v>
      </c>
      <c r="K108" s="8"/>
      <c r="L108" s="8">
        <f t="shared" si="40"/>
        <v>10</v>
      </c>
      <c r="M108" s="9">
        <f t="shared" si="35"/>
        <v>280000</v>
      </c>
      <c r="N108" t="s">
        <v>386</v>
      </c>
      <c r="O108" t="s">
        <v>387</v>
      </c>
      <c r="P108" t="s">
        <v>43</v>
      </c>
      <c r="Q108" t="str">
        <f t="shared" ref="Q108:Q152" si="41">+IF(P108="FACTURA","NETO",IF(P108="BOLETA","BRUTO","TOTAL"))</f>
        <v>BRUTO</v>
      </c>
      <c r="R108" t="str">
        <f t="shared" ref="R108:R152" si="42">+IF(Q108="BRUTO","RETENCION","IMPUESTO")</f>
        <v>RETENCION</v>
      </c>
      <c r="S108" t="str">
        <f t="shared" si="25"/>
        <v>LIQUIDO A PAGAR</v>
      </c>
      <c r="T108" s="10">
        <f t="shared" si="36"/>
        <v>280000</v>
      </c>
      <c r="U108" s="11">
        <v>0.1525</v>
      </c>
      <c r="V108" s="12">
        <f t="shared" si="37"/>
        <v>42700</v>
      </c>
      <c r="W108" s="10">
        <f t="shared" si="38"/>
        <v>237300</v>
      </c>
      <c r="X108" s="10" t="s">
        <v>44</v>
      </c>
      <c r="Y108" t="s">
        <v>386</v>
      </c>
      <c r="Z108" t="s">
        <v>388</v>
      </c>
      <c r="AA108" t="s">
        <v>68</v>
      </c>
      <c r="AB108" t="s">
        <v>47</v>
      </c>
      <c r="AC108">
        <v>7207425</v>
      </c>
      <c r="AD108" s="13">
        <v>46173</v>
      </c>
      <c r="AE108" s="14" t="s">
        <v>48</v>
      </c>
      <c r="AF108" s="13">
        <v>46188</v>
      </c>
      <c r="AG108">
        <v>20260542</v>
      </c>
      <c r="AH108">
        <v>0</v>
      </c>
      <c r="AI108" s="15">
        <f t="shared" si="39"/>
        <v>237300</v>
      </c>
      <c r="AJ108" t="s">
        <v>389</v>
      </c>
    </row>
    <row r="109" spans="1:36">
      <c r="A109" t="s">
        <v>50</v>
      </c>
      <c r="B109" t="s">
        <v>36</v>
      </c>
      <c r="C109" t="s">
        <v>50</v>
      </c>
      <c r="D109" t="s">
        <v>390</v>
      </c>
      <c r="E109" s="18" t="s">
        <v>38</v>
      </c>
      <c r="F109" s="18" t="s">
        <v>385</v>
      </c>
      <c r="G109" t="s">
        <v>386</v>
      </c>
      <c r="H109" t="s">
        <v>41</v>
      </c>
      <c r="I109" s="8">
        <v>15000</v>
      </c>
      <c r="J109" s="8">
        <v>10</v>
      </c>
      <c r="K109" s="8"/>
      <c r="L109" s="8">
        <f t="shared" si="40"/>
        <v>10</v>
      </c>
      <c r="M109" s="9">
        <f t="shared" si="35"/>
        <v>150000</v>
      </c>
      <c r="N109" t="s">
        <v>386</v>
      </c>
      <c r="O109" t="s">
        <v>387</v>
      </c>
      <c r="P109" t="s">
        <v>43</v>
      </c>
      <c r="Q109" t="str">
        <f t="shared" si="41"/>
        <v>BRUTO</v>
      </c>
      <c r="R109" t="str">
        <f t="shared" si="42"/>
        <v>RETENCION</v>
      </c>
      <c r="S109" t="str">
        <f t="shared" ref="S109:S154" si="43">+IF(Q109="BRUTO","LIQUIDO A PAGAR","TOTAL")</f>
        <v>LIQUIDO A PAGAR</v>
      </c>
      <c r="T109" s="10">
        <f t="shared" si="36"/>
        <v>150000</v>
      </c>
      <c r="U109" s="11">
        <v>0.1525</v>
      </c>
      <c r="V109" s="12">
        <f t="shared" si="37"/>
        <v>22875</v>
      </c>
      <c r="W109" s="10">
        <f t="shared" si="38"/>
        <v>127125</v>
      </c>
      <c r="X109" s="10" t="s">
        <v>44</v>
      </c>
      <c r="Y109" t="s">
        <v>386</v>
      </c>
      <c r="Z109" t="s">
        <v>388</v>
      </c>
      <c r="AA109" t="s">
        <v>68</v>
      </c>
      <c r="AB109" t="s">
        <v>47</v>
      </c>
      <c r="AC109">
        <v>7207425</v>
      </c>
      <c r="AD109" s="13">
        <v>46173</v>
      </c>
      <c r="AE109" s="14" t="s">
        <v>48</v>
      </c>
      <c r="AF109" s="13">
        <v>46188</v>
      </c>
      <c r="AG109">
        <v>20260542</v>
      </c>
      <c r="AH109">
        <v>0</v>
      </c>
      <c r="AI109" s="15">
        <f t="shared" si="39"/>
        <v>127125</v>
      </c>
      <c r="AJ109" t="s">
        <v>389</v>
      </c>
    </row>
    <row r="110" spans="1:36">
      <c r="A110" t="s">
        <v>50</v>
      </c>
      <c r="B110" t="s">
        <v>36</v>
      </c>
      <c r="C110" t="s">
        <v>50</v>
      </c>
      <c r="D110" t="s">
        <v>391</v>
      </c>
      <c r="E110" s="18" t="s">
        <v>38</v>
      </c>
      <c r="F110" s="18" t="s">
        <v>392</v>
      </c>
      <c r="G110" t="s">
        <v>393</v>
      </c>
      <c r="H110" t="s">
        <v>41</v>
      </c>
      <c r="I110" s="8">
        <v>20000</v>
      </c>
      <c r="J110" s="8">
        <v>10</v>
      </c>
      <c r="K110" s="8"/>
      <c r="L110" s="8">
        <f t="shared" si="40"/>
        <v>10</v>
      </c>
      <c r="M110" s="9">
        <f t="shared" si="35"/>
        <v>200000</v>
      </c>
      <c r="N110" t="s">
        <v>393</v>
      </c>
      <c r="O110" t="s">
        <v>394</v>
      </c>
      <c r="P110" t="s">
        <v>77</v>
      </c>
      <c r="Q110" t="str">
        <f t="shared" si="41"/>
        <v>NETO</v>
      </c>
      <c r="R110" t="str">
        <f t="shared" si="42"/>
        <v>IMPUESTO</v>
      </c>
      <c r="S110" t="str">
        <f t="shared" si="43"/>
        <v>TOTAL</v>
      </c>
      <c r="T110" s="10">
        <f t="shared" si="36"/>
        <v>200000</v>
      </c>
      <c r="U110" s="11">
        <f t="shared" ref="U110:U113" si="44">+IF(P110="TRATO",0,IF(P110="BOLETA",13%,19%))</f>
        <v>0.19</v>
      </c>
      <c r="V110" s="12">
        <f t="shared" si="37"/>
        <v>38000</v>
      </c>
      <c r="W110" s="10">
        <f t="shared" si="38"/>
        <v>238000</v>
      </c>
      <c r="X110" s="10" t="s">
        <v>44</v>
      </c>
      <c r="Y110" t="s">
        <v>393</v>
      </c>
      <c r="Z110" t="s">
        <v>395</v>
      </c>
      <c r="AA110" t="s">
        <v>68</v>
      </c>
      <c r="AB110" t="s">
        <v>47</v>
      </c>
      <c r="AC110">
        <v>34871476324</v>
      </c>
      <c r="AD110" s="13">
        <v>46173</v>
      </c>
      <c r="AE110" s="14" t="s">
        <v>48</v>
      </c>
      <c r="AF110" s="13">
        <v>46188</v>
      </c>
      <c r="AG110">
        <v>20260543</v>
      </c>
      <c r="AH110">
        <v>0</v>
      </c>
      <c r="AI110" s="15">
        <f t="shared" si="39"/>
        <v>238000</v>
      </c>
      <c r="AJ110" t="s">
        <v>396</v>
      </c>
    </row>
    <row r="111" spans="1:36">
      <c r="A111" t="s">
        <v>50</v>
      </c>
      <c r="B111" t="s">
        <v>36</v>
      </c>
      <c r="C111" t="s">
        <v>50</v>
      </c>
      <c r="D111" t="s">
        <v>397</v>
      </c>
      <c r="E111" s="18" t="s">
        <v>38</v>
      </c>
      <c r="F111" s="18" t="s">
        <v>392</v>
      </c>
      <c r="G111" t="s">
        <v>393</v>
      </c>
      <c r="H111" t="s">
        <v>41</v>
      </c>
      <c r="I111" s="8">
        <v>20000</v>
      </c>
      <c r="J111" s="8">
        <v>10</v>
      </c>
      <c r="K111" s="8"/>
      <c r="L111" s="8">
        <f t="shared" si="40"/>
        <v>10</v>
      </c>
      <c r="M111" s="9">
        <f t="shared" si="35"/>
        <v>200000</v>
      </c>
      <c r="N111" t="s">
        <v>393</v>
      </c>
      <c r="O111" t="s">
        <v>394</v>
      </c>
      <c r="P111" t="s">
        <v>77</v>
      </c>
      <c r="Q111" t="str">
        <f t="shared" si="41"/>
        <v>NETO</v>
      </c>
      <c r="R111" t="str">
        <f t="shared" si="42"/>
        <v>IMPUESTO</v>
      </c>
      <c r="S111" t="str">
        <f t="shared" si="43"/>
        <v>TOTAL</v>
      </c>
      <c r="T111" s="10">
        <f t="shared" si="36"/>
        <v>200000</v>
      </c>
      <c r="U111" s="11">
        <f t="shared" si="44"/>
        <v>0.19</v>
      </c>
      <c r="V111" s="12">
        <f t="shared" si="37"/>
        <v>38000</v>
      </c>
      <c r="W111" s="10">
        <f t="shared" si="38"/>
        <v>238000</v>
      </c>
      <c r="X111" s="10" t="s">
        <v>44</v>
      </c>
      <c r="Y111" t="s">
        <v>393</v>
      </c>
      <c r="Z111" t="s">
        <v>395</v>
      </c>
      <c r="AA111" t="s">
        <v>68</v>
      </c>
      <c r="AB111" t="s">
        <v>47</v>
      </c>
      <c r="AC111">
        <v>34871476324</v>
      </c>
      <c r="AD111" s="13">
        <v>46173</v>
      </c>
      <c r="AE111" s="14" t="s">
        <v>48</v>
      </c>
      <c r="AF111" s="13">
        <v>46188</v>
      </c>
      <c r="AG111">
        <v>20260543</v>
      </c>
      <c r="AH111">
        <v>0</v>
      </c>
      <c r="AI111" s="15">
        <f t="shared" si="39"/>
        <v>238000</v>
      </c>
      <c r="AJ111" t="s">
        <v>396</v>
      </c>
    </row>
    <row r="112" spans="1:36">
      <c r="A112" t="s">
        <v>398</v>
      </c>
      <c r="B112" t="s">
        <v>36</v>
      </c>
      <c r="C112" t="s">
        <v>399</v>
      </c>
      <c r="D112" t="s">
        <v>364</v>
      </c>
      <c r="E112" s="18" t="s">
        <v>38</v>
      </c>
      <c r="F112" s="18" t="s">
        <v>400</v>
      </c>
      <c r="G112" t="s">
        <v>401</v>
      </c>
      <c r="H112" t="s">
        <v>41</v>
      </c>
      <c r="I112" s="8">
        <v>110000</v>
      </c>
      <c r="J112" s="8">
        <v>10</v>
      </c>
      <c r="K112" s="8"/>
      <c r="L112" s="8">
        <f t="shared" si="40"/>
        <v>10</v>
      </c>
      <c r="M112" s="9">
        <f t="shared" si="35"/>
        <v>1100000</v>
      </c>
      <c r="N112" t="s">
        <v>402</v>
      </c>
      <c r="O112" t="s">
        <v>403</v>
      </c>
      <c r="P112" t="s">
        <v>77</v>
      </c>
      <c r="Q112" t="str">
        <f t="shared" si="41"/>
        <v>NETO</v>
      </c>
      <c r="R112" t="str">
        <f t="shared" si="42"/>
        <v>IMPUESTO</v>
      </c>
      <c r="S112" t="str">
        <f t="shared" si="43"/>
        <v>TOTAL</v>
      </c>
      <c r="T112" s="10">
        <f t="shared" si="36"/>
        <v>1100000</v>
      </c>
      <c r="U112" s="11">
        <f t="shared" si="44"/>
        <v>0.19</v>
      </c>
      <c r="V112" s="12">
        <f t="shared" si="37"/>
        <v>209000</v>
      </c>
      <c r="W112" s="10">
        <f t="shared" si="38"/>
        <v>1309000</v>
      </c>
      <c r="X112" s="10" t="s">
        <v>44</v>
      </c>
      <c r="Y112" t="s">
        <v>404</v>
      </c>
      <c r="Z112" t="s">
        <v>405</v>
      </c>
      <c r="AA112" t="s">
        <v>46</v>
      </c>
      <c r="AB112" t="s">
        <v>406</v>
      </c>
      <c r="AC112">
        <v>15560025666</v>
      </c>
      <c r="AD112" s="13">
        <v>46173</v>
      </c>
      <c r="AE112" s="14" t="s">
        <v>48</v>
      </c>
      <c r="AF112" s="13">
        <v>46188</v>
      </c>
      <c r="AG112">
        <v>20260544</v>
      </c>
      <c r="AH112">
        <v>0</v>
      </c>
      <c r="AI112" s="15">
        <f t="shared" si="39"/>
        <v>1309000</v>
      </c>
      <c r="AJ112" t="s">
        <v>407</v>
      </c>
    </row>
    <row r="113" spans="1:36">
      <c r="A113" t="s">
        <v>398</v>
      </c>
      <c r="B113" t="s">
        <v>36</v>
      </c>
      <c r="C113" t="s">
        <v>399</v>
      </c>
      <c r="D113" t="s">
        <v>408</v>
      </c>
      <c r="E113" s="18" t="s">
        <v>38</v>
      </c>
      <c r="F113" s="18" t="s">
        <v>91</v>
      </c>
      <c r="G113" t="s">
        <v>409</v>
      </c>
      <c r="H113" t="s">
        <v>41</v>
      </c>
      <c r="I113" s="8">
        <v>75000</v>
      </c>
      <c r="J113" s="8">
        <v>10</v>
      </c>
      <c r="K113" s="8"/>
      <c r="L113" s="8">
        <f t="shared" si="40"/>
        <v>10</v>
      </c>
      <c r="M113" s="9">
        <f t="shared" si="35"/>
        <v>750000</v>
      </c>
      <c r="N113" t="s">
        <v>409</v>
      </c>
      <c r="O113" t="s">
        <v>410</v>
      </c>
      <c r="P113" t="s">
        <v>77</v>
      </c>
      <c r="Q113" t="str">
        <f t="shared" si="41"/>
        <v>NETO</v>
      </c>
      <c r="R113" t="str">
        <f t="shared" si="42"/>
        <v>IMPUESTO</v>
      </c>
      <c r="S113" t="str">
        <f t="shared" si="43"/>
        <v>TOTAL</v>
      </c>
      <c r="T113" s="10">
        <f t="shared" si="36"/>
        <v>750000</v>
      </c>
      <c r="U113" s="11">
        <f t="shared" si="44"/>
        <v>0.19</v>
      </c>
      <c r="V113" s="12">
        <f t="shared" si="37"/>
        <v>142500</v>
      </c>
      <c r="W113" s="10">
        <f t="shared" si="38"/>
        <v>892500</v>
      </c>
      <c r="X113" s="10" t="s">
        <v>44</v>
      </c>
      <c r="Y113" t="s">
        <v>409</v>
      </c>
      <c r="Z113" t="s">
        <v>411</v>
      </c>
      <c r="AA113" t="s">
        <v>68</v>
      </c>
      <c r="AB113" t="s">
        <v>412</v>
      </c>
      <c r="AC113">
        <v>10551402</v>
      </c>
      <c r="AD113" s="13">
        <v>46173</v>
      </c>
      <c r="AE113" s="14" t="s">
        <v>48</v>
      </c>
      <c r="AF113" s="13">
        <v>46188</v>
      </c>
      <c r="AG113">
        <v>20260545</v>
      </c>
      <c r="AH113">
        <v>0</v>
      </c>
      <c r="AI113" s="15">
        <f t="shared" si="39"/>
        <v>892500</v>
      </c>
      <c r="AJ113" t="s">
        <v>413</v>
      </c>
    </row>
    <row r="114" spans="1:36">
      <c r="A114" t="s">
        <v>414</v>
      </c>
      <c r="B114" t="s">
        <v>36</v>
      </c>
      <c r="C114" t="s">
        <v>399</v>
      </c>
      <c r="D114" t="s">
        <v>173</v>
      </c>
      <c r="E114" s="18" t="s">
        <v>38</v>
      </c>
      <c r="F114" s="18" t="s">
        <v>415</v>
      </c>
      <c r="G114" t="s">
        <v>416</v>
      </c>
      <c r="H114" t="s">
        <v>176</v>
      </c>
      <c r="I114" s="8">
        <v>20000</v>
      </c>
      <c r="J114" s="8">
        <v>10</v>
      </c>
      <c r="K114" s="8"/>
      <c r="L114" s="8">
        <f t="shared" si="40"/>
        <v>10</v>
      </c>
      <c r="M114" s="9">
        <f t="shared" si="35"/>
        <v>200000</v>
      </c>
      <c r="N114" t="s">
        <v>416</v>
      </c>
      <c r="O114" t="s">
        <v>417</v>
      </c>
      <c r="P114" t="s">
        <v>43</v>
      </c>
      <c r="Q114" t="str">
        <f t="shared" si="41"/>
        <v>BRUTO</v>
      </c>
      <c r="R114" t="str">
        <f t="shared" si="42"/>
        <v>RETENCION</v>
      </c>
      <c r="S114" t="str">
        <f t="shared" si="43"/>
        <v>LIQUIDO A PAGAR</v>
      </c>
      <c r="T114" s="10">
        <f t="shared" si="36"/>
        <v>200000</v>
      </c>
      <c r="U114" s="11">
        <v>0.1525</v>
      </c>
      <c r="V114" s="12">
        <f t="shared" si="37"/>
        <v>30500</v>
      </c>
      <c r="W114" s="10">
        <f t="shared" si="38"/>
        <v>169500</v>
      </c>
      <c r="X114" s="10" t="s">
        <v>44</v>
      </c>
      <c r="Y114" t="s">
        <v>416</v>
      </c>
      <c r="Z114" t="s">
        <v>418</v>
      </c>
      <c r="AA114" t="s">
        <v>57</v>
      </c>
      <c r="AB114" t="s">
        <v>47</v>
      </c>
      <c r="AC114">
        <v>102715279</v>
      </c>
      <c r="AD114" s="13">
        <v>46173</v>
      </c>
      <c r="AE114" s="14" t="s">
        <v>48</v>
      </c>
      <c r="AF114" s="13">
        <v>46188</v>
      </c>
      <c r="AG114">
        <v>20260546</v>
      </c>
      <c r="AH114">
        <v>0</v>
      </c>
      <c r="AI114" s="15">
        <f t="shared" si="39"/>
        <v>169500</v>
      </c>
      <c r="AJ114" t="s">
        <v>419</v>
      </c>
    </row>
    <row r="115" spans="1:36">
      <c r="A115" t="s">
        <v>414</v>
      </c>
      <c r="B115" t="s">
        <v>36</v>
      </c>
      <c r="C115" t="s">
        <v>399</v>
      </c>
      <c r="D115" t="s">
        <v>132</v>
      </c>
      <c r="E115" s="18" t="s">
        <v>38</v>
      </c>
      <c r="F115" s="18" t="s">
        <v>415</v>
      </c>
      <c r="G115" t="s">
        <v>416</v>
      </c>
      <c r="H115" t="s">
        <v>41</v>
      </c>
      <c r="I115" s="8">
        <v>97500</v>
      </c>
      <c r="J115" s="8">
        <v>10</v>
      </c>
      <c r="K115" s="8"/>
      <c r="L115" s="8">
        <f t="shared" si="40"/>
        <v>10</v>
      </c>
      <c r="M115" s="9">
        <f t="shared" si="35"/>
        <v>975000</v>
      </c>
      <c r="N115" t="s">
        <v>416</v>
      </c>
      <c r="O115" t="s">
        <v>417</v>
      </c>
      <c r="P115" t="s">
        <v>43</v>
      </c>
      <c r="Q115" t="str">
        <f t="shared" si="41"/>
        <v>BRUTO</v>
      </c>
      <c r="R115" t="str">
        <f t="shared" si="42"/>
        <v>RETENCION</v>
      </c>
      <c r="S115" t="str">
        <f t="shared" si="43"/>
        <v>LIQUIDO A PAGAR</v>
      </c>
      <c r="T115" s="10">
        <f t="shared" si="36"/>
        <v>975000</v>
      </c>
      <c r="U115" s="11">
        <v>0.1525</v>
      </c>
      <c r="V115" s="12">
        <f t="shared" si="37"/>
        <v>148687.5</v>
      </c>
      <c r="W115" s="10">
        <f t="shared" si="38"/>
        <v>826312</v>
      </c>
      <c r="X115" s="10" t="s">
        <v>44</v>
      </c>
      <c r="Y115" t="s">
        <v>416</v>
      </c>
      <c r="Z115" t="s">
        <v>418</v>
      </c>
      <c r="AA115" t="s">
        <v>57</v>
      </c>
      <c r="AB115" t="s">
        <v>47</v>
      </c>
      <c r="AC115">
        <v>102715279</v>
      </c>
      <c r="AD115" s="13">
        <v>46173</v>
      </c>
      <c r="AE115" s="14" t="s">
        <v>48</v>
      </c>
      <c r="AF115" s="13">
        <v>46188</v>
      </c>
      <c r="AG115">
        <v>20260546</v>
      </c>
      <c r="AH115">
        <v>0</v>
      </c>
      <c r="AI115" s="15">
        <f t="shared" si="39"/>
        <v>826312</v>
      </c>
      <c r="AJ115" t="s">
        <v>419</v>
      </c>
    </row>
    <row r="116" spans="1:36">
      <c r="A116" t="s">
        <v>414</v>
      </c>
      <c r="B116" t="s">
        <v>36</v>
      </c>
      <c r="C116" t="s">
        <v>399</v>
      </c>
      <c r="D116" t="s">
        <v>420</v>
      </c>
      <c r="E116" s="18" t="s">
        <v>38</v>
      </c>
      <c r="F116" s="18" t="s">
        <v>421</v>
      </c>
      <c r="G116" t="s">
        <v>422</v>
      </c>
      <c r="H116" t="s">
        <v>41</v>
      </c>
      <c r="I116" s="8">
        <v>90000</v>
      </c>
      <c r="J116" s="8">
        <v>10</v>
      </c>
      <c r="K116" s="8"/>
      <c r="L116" s="8">
        <f t="shared" si="40"/>
        <v>10</v>
      </c>
      <c r="M116" s="9">
        <f t="shared" si="35"/>
        <v>900000</v>
      </c>
      <c r="N116" t="s">
        <v>422</v>
      </c>
      <c r="O116" t="s">
        <v>423</v>
      </c>
      <c r="P116" t="s">
        <v>43</v>
      </c>
      <c r="Q116" t="str">
        <f t="shared" si="41"/>
        <v>BRUTO</v>
      </c>
      <c r="R116" t="str">
        <f t="shared" si="42"/>
        <v>RETENCION</v>
      </c>
      <c r="S116" t="str">
        <f t="shared" si="43"/>
        <v>LIQUIDO A PAGAR</v>
      </c>
      <c r="T116" s="10">
        <f t="shared" si="36"/>
        <v>900000</v>
      </c>
      <c r="U116" s="11">
        <v>0.1525</v>
      </c>
      <c r="V116" s="12">
        <f t="shared" si="37"/>
        <v>137250</v>
      </c>
      <c r="W116" s="10">
        <f t="shared" si="38"/>
        <v>762750</v>
      </c>
      <c r="X116" s="10" t="s">
        <v>44</v>
      </c>
      <c r="Y116" t="s">
        <v>422</v>
      </c>
      <c r="Z116" t="s">
        <v>424</v>
      </c>
      <c r="AA116" t="s">
        <v>425</v>
      </c>
      <c r="AB116" t="s">
        <v>412</v>
      </c>
      <c r="AC116">
        <v>11848747</v>
      </c>
      <c r="AD116" s="13">
        <v>46173</v>
      </c>
      <c r="AE116" s="14" t="s">
        <v>48</v>
      </c>
      <c r="AF116" s="13">
        <v>46188</v>
      </c>
      <c r="AG116">
        <v>20260547</v>
      </c>
      <c r="AH116">
        <v>0</v>
      </c>
      <c r="AI116" s="15">
        <f t="shared" si="39"/>
        <v>762750</v>
      </c>
      <c r="AJ116" t="s">
        <v>426</v>
      </c>
    </row>
    <row r="117" spans="1:36">
      <c r="A117" t="s">
        <v>414</v>
      </c>
      <c r="B117" t="s">
        <v>36</v>
      </c>
      <c r="C117" t="s">
        <v>399</v>
      </c>
      <c r="D117" t="s">
        <v>107</v>
      </c>
      <c r="E117" s="18" t="s">
        <v>38</v>
      </c>
      <c r="F117" s="18" t="s">
        <v>427</v>
      </c>
      <c r="G117" t="s">
        <v>428</v>
      </c>
      <c r="H117" t="s">
        <v>41</v>
      </c>
      <c r="I117" s="8">
        <v>55000</v>
      </c>
      <c r="J117" s="8">
        <v>10</v>
      </c>
      <c r="K117" s="8"/>
      <c r="L117" s="8">
        <f t="shared" si="40"/>
        <v>10</v>
      </c>
      <c r="M117" s="9">
        <f t="shared" si="35"/>
        <v>550000</v>
      </c>
      <c r="N117" t="s">
        <v>428</v>
      </c>
      <c r="O117" t="s">
        <v>429</v>
      </c>
      <c r="P117" t="s">
        <v>77</v>
      </c>
      <c r="Q117" t="str">
        <f t="shared" si="41"/>
        <v>NETO</v>
      </c>
      <c r="R117" t="str">
        <f t="shared" si="42"/>
        <v>IMPUESTO</v>
      </c>
      <c r="S117" t="str">
        <f t="shared" si="43"/>
        <v>TOTAL</v>
      </c>
      <c r="T117" s="10">
        <f t="shared" si="36"/>
        <v>550000</v>
      </c>
      <c r="U117" s="11">
        <f>+IF(P117="TRATO",0,IF(P117="BOLETA",13%,19%))</f>
        <v>0.19</v>
      </c>
      <c r="V117" s="12">
        <f t="shared" si="37"/>
        <v>104500</v>
      </c>
      <c r="W117" s="10">
        <f t="shared" si="38"/>
        <v>654500</v>
      </c>
      <c r="X117" s="10" t="s">
        <v>44</v>
      </c>
      <c r="Y117" t="s">
        <v>428</v>
      </c>
      <c r="Z117" t="s">
        <v>430</v>
      </c>
      <c r="AA117" t="s">
        <v>46</v>
      </c>
      <c r="AB117" t="s">
        <v>105</v>
      </c>
      <c r="AC117">
        <v>19997714060</v>
      </c>
      <c r="AD117" s="13">
        <v>46173</v>
      </c>
      <c r="AE117" s="14" t="s">
        <v>48</v>
      </c>
      <c r="AF117" s="13">
        <v>46188</v>
      </c>
      <c r="AG117">
        <v>20260548</v>
      </c>
      <c r="AH117">
        <v>0</v>
      </c>
      <c r="AI117" s="15">
        <f t="shared" si="39"/>
        <v>654500</v>
      </c>
      <c r="AJ117" t="s">
        <v>431</v>
      </c>
    </row>
    <row r="118" spans="1:36">
      <c r="A118" t="s">
        <v>414</v>
      </c>
      <c r="B118" t="s">
        <v>36</v>
      </c>
      <c r="C118" t="s">
        <v>399</v>
      </c>
      <c r="D118" t="s">
        <v>132</v>
      </c>
      <c r="E118" s="18" t="s">
        <v>38</v>
      </c>
      <c r="F118" s="18" t="s">
        <v>427</v>
      </c>
      <c r="G118" t="s">
        <v>428</v>
      </c>
      <c r="H118" t="s">
        <v>41</v>
      </c>
      <c r="I118" s="8">
        <v>30000</v>
      </c>
      <c r="J118" s="8">
        <v>10</v>
      </c>
      <c r="K118" s="8"/>
      <c r="L118" s="8">
        <f t="shared" si="40"/>
        <v>10</v>
      </c>
      <c r="M118" s="9">
        <f t="shared" si="35"/>
        <v>300000</v>
      </c>
      <c r="N118" t="s">
        <v>428</v>
      </c>
      <c r="O118" t="s">
        <v>429</v>
      </c>
      <c r="P118" t="s">
        <v>77</v>
      </c>
      <c r="Q118" t="str">
        <f t="shared" si="41"/>
        <v>NETO</v>
      </c>
      <c r="R118" t="str">
        <f t="shared" si="42"/>
        <v>IMPUESTO</v>
      </c>
      <c r="S118" t="str">
        <f t="shared" si="43"/>
        <v>TOTAL</v>
      </c>
      <c r="T118" s="10">
        <f t="shared" si="36"/>
        <v>300000</v>
      </c>
      <c r="U118" s="11">
        <f>+IF(P118="TRATO",0,IF(P118="BOLETA",13%,19%))</f>
        <v>0.19</v>
      </c>
      <c r="V118" s="12">
        <f t="shared" si="37"/>
        <v>57000</v>
      </c>
      <c r="W118" s="10">
        <f t="shared" si="38"/>
        <v>357000</v>
      </c>
      <c r="X118" s="10" t="s">
        <v>44</v>
      </c>
      <c r="Y118" t="s">
        <v>428</v>
      </c>
      <c r="Z118" t="s">
        <v>430</v>
      </c>
      <c r="AA118" t="s">
        <v>46</v>
      </c>
      <c r="AB118" t="s">
        <v>105</v>
      </c>
      <c r="AC118">
        <v>19997714060</v>
      </c>
      <c r="AD118" s="13">
        <v>46173</v>
      </c>
      <c r="AE118" s="14" t="s">
        <v>48</v>
      </c>
      <c r="AF118" s="13">
        <v>46188</v>
      </c>
      <c r="AG118">
        <v>20260548</v>
      </c>
      <c r="AH118">
        <v>0</v>
      </c>
      <c r="AI118" s="15">
        <f t="shared" si="39"/>
        <v>357000</v>
      </c>
      <c r="AJ118" t="s">
        <v>431</v>
      </c>
    </row>
    <row r="119" spans="1:36">
      <c r="A119" t="s">
        <v>414</v>
      </c>
      <c r="B119" t="s">
        <v>432</v>
      </c>
      <c r="C119" t="s">
        <v>399</v>
      </c>
      <c r="D119" t="s">
        <v>433</v>
      </c>
      <c r="E119" s="18" t="s">
        <v>38</v>
      </c>
      <c r="F119" s="18" t="s">
        <v>427</v>
      </c>
      <c r="G119" t="s">
        <v>428</v>
      </c>
      <c r="H119" t="s">
        <v>41</v>
      </c>
      <c r="I119" s="8">
        <v>25000</v>
      </c>
      <c r="J119" s="8">
        <v>10</v>
      </c>
      <c r="K119" s="8">
        <v>0</v>
      </c>
      <c r="L119" s="8">
        <f t="shared" si="40"/>
        <v>10</v>
      </c>
      <c r="M119" s="9">
        <f t="shared" si="35"/>
        <v>250000</v>
      </c>
      <c r="N119" t="s">
        <v>428</v>
      </c>
      <c r="O119" t="s">
        <v>429</v>
      </c>
      <c r="P119" t="s">
        <v>77</v>
      </c>
      <c r="Q119" t="str">
        <f t="shared" si="41"/>
        <v>NETO</v>
      </c>
      <c r="R119" t="str">
        <f t="shared" si="42"/>
        <v>IMPUESTO</v>
      </c>
      <c r="S119" t="str">
        <f t="shared" si="43"/>
        <v>TOTAL</v>
      </c>
      <c r="T119" s="10">
        <f t="shared" si="36"/>
        <v>250000</v>
      </c>
      <c r="U119" s="11">
        <f>+IF(P119="TRATO",0,IF(P119="BOLETA",13%,19%))</f>
        <v>0.19</v>
      </c>
      <c r="V119" s="12">
        <f t="shared" si="37"/>
        <v>47500</v>
      </c>
      <c r="W119" s="10">
        <f t="shared" si="38"/>
        <v>297500</v>
      </c>
      <c r="X119" s="10" t="s">
        <v>44</v>
      </c>
      <c r="Y119" t="s">
        <v>428</v>
      </c>
      <c r="Z119" t="s">
        <v>430</v>
      </c>
      <c r="AA119" t="s">
        <v>46</v>
      </c>
      <c r="AB119" t="s">
        <v>105</v>
      </c>
      <c r="AC119">
        <v>19997714060</v>
      </c>
      <c r="AD119" s="13">
        <v>46173</v>
      </c>
      <c r="AE119" s="14" t="s">
        <v>48</v>
      </c>
      <c r="AF119" s="13">
        <v>46188</v>
      </c>
      <c r="AG119">
        <v>20260548</v>
      </c>
      <c r="AH119">
        <v>0</v>
      </c>
      <c r="AI119" s="15">
        <f t="shared" si="39"/>
        <v>297500</v>
      </c>
      <c r="AJ119" t="s">
        <v>431</v>
      </c>
    </row>
    <row r="120" spans="1:36">
      <c r="A120" t="s">
        <v>414</v>
      </c>
      <c r="B120" t="s">
        <v>36</v>
      </c>
      <c r="C120" t="s">
        <v>399</v>
      </c>
      <c r="D120" t="s">
        <v>434</v>
      </c>
      <c r="E120" s="18" t="s">
        <v>38</v>
      </c>
      <c r="F120" s="18" t="s">
        <v>435</v>
      </c>
      <c r="G120" t="s">
        <v>436</v>
      </c>
      <c r="H120" t="s">
        <v>41</v>
      </c>
      <c r="I120" s="8">
        <v>28000</v>
      </c>
      <c r="J120" s="8">
        <v>10</v>
      </c>
      <c r="K120" s="8"/>
      <c r="L120" s="8">
        <f t="shared" si="40"/>
        <v>10</v>
      </c>
      <c r="M120" s="9">
        <f t="shared" si="35"/>
        <v>280000</v>
      </c>
      <c r="N120" t="s">
        <v>436</v>
      </c>
      <c r="O120" t="s">
        <v>437</v>
      </c>
      <c r="P120" t="s">
        <v>43</v>
      </c>
      <c r="Q120" t="str">
        <f t="shared" si="41"/>
        <v>BRUTO</v>
      </c>
      <c r="R120" t="str">
        <f t="shared" si="42"/>
        <v>RETENCION</v>
      </c>
      <c r="S120" t="str">
        <f t="shared" si="43"/>
        <v>LIQUIDO A PAGAR</v>
      </c>
      <c r="T120" s="10">
        <f t="shared" si="36"/>
        <v>280000</v>
      </c>
      <c r="U120" s="11">
        <v>0.1525</v>
      </c>
      <c r="V120" s="12">
        <f t="shared" si="37"/>
        <v>42700</v>
      </c>
      <c r="W120" s="10">
        <f t="shared" si="38"/>
        <v>237300</v>
      </c>
      <c r="X120" s="10" t="s">
        <v>44</v>
      </c>
      <c r="Y120" t="s">
        <v>436</v>
      </c>
      <c r="Z120" t="s">
        <v>438</v>
      </c>
      <c r="AA120" t="s">
        <v>425</v>
      </c>
      <c r="AB120" t="s">
        <v>412</v>
      </c>
      <c r="AC120">
        <v>10929445</v>
      </c>
      <c r="AD120" s="13">
        <v>46173</v>
      </c>
      <c r="AE120" s="14" t="s">
        <v>48</v>
      </c>
      <c r="AF120" s="13">
        <v>46188</v>
      </c>
      <c r="AG120">
        <v>20260549</v>
      </c>
      <c r="AH120">
        <v>0</v>
      </c>
      <c r="AI120" s="15">
        <f t="shared" si="39"/>
        <v>237300</v>
      </c>
      <c r="AJ120" t="s">
        <v>439</v>
      </c>
    </row>
    <row r="121" spans="1:36">
      <c r="A121" t="s">
        <v>440</v>
      </c>
      <c r="B121" t="s">
        <v>36</v>
      </c>
      <c r="C121" t="s">
        <v>399</v>
      </c>
      <c r="D121" t="s">
        <v>173</v>
      </c>
      <c r="E121" s="18" t="s">
        <v>38</v>
      </c>
      <c r="F121" s="18" t="s">
        <v>441</v>
      </c>
      <c r="G121" t="s">
        <v>442</v>
      </c>
      <c r="H121" t="s">
        <v>176</v>
      </c>
      <c r="I121" s="8">
        <v>20000</v>
      </c>
      <c r="J121" s="8">
        <v>10</v>
      </c>
      <c r="K121" s="8"/>
      <c r="L121" s="8">
        <f t="shared" si="40"/>
        <v>10</v>
      </c>
      <c r="M121" s="9">
        <f t="shared" si="35"/>
        <v>200000</v>
      </c>
      <c r="N121" t="s">
        <v>442</v>
      </c>
      <c r="O121" t="s">
        <v>443</v>
      </c>
      <c r="P121" t="s">
        <v>43</v>
      </c>
      <c r="Q121" t="str">
        <f t="shared" si="41"/>
        <v>BRUTO</v>
      </c>
      <c r="R121" t="str">
        <f t="shared" si="42"/>
        <v>RETENCION</v>
      </c>
      <c r="S121" t="str">
        <f t="shared" si="43"/>
        <v>LIQUIDO A PAGAR</v>
      </c>
      <c r="T121" s="10">
        <f t="shared" si="36"/>
        <v>200000</v>
      </c>
      <c r="U121" s="11">
        <v>0.1525</v>
      </c>
      <c r="V121" s="12">
        <f t="shared" si="37"/>
        <v>30500</v>
      </c>
      <c r="W121" s="10">
        <f t="shared" si="38"/>
        <v>169500</v>
      </c>
      <c r="X121" s="10" t="s">
        <v>44</v>
      </c>
      <c r="Y121" t="s">
        <v>442</v>
      </c>
      <c r="Z121" t="s">
        <v>444</v>
      </c>
      <c r="AA121" t="s">
        <v>425</v>
      </c>
      <c r="AB121" t="s">
        <v>412</v>
      </c>
      <c r="AC121">
        <v>17743791</v>
      </c>
      <c r="AD121" s="13">
        <v>46173</v>
      </c>
      <c r="AE121" s="14" t="s">
        <v>48</v>
      </c>
      <c r="AF121" s="13">
        <v>46188</v>
      </c>
      <c r="AG121">
        <v>20260550</v>
      </c>
      <c r="AH121">
        <v>0</v>
      </c>
      <c r="AI121" s="15">
        <f t="shared" si="39"/>
        <v>169500</v>
      </c>
      <c r="AJ121" t="s">
        <v>445</v>
      </c>
    </row>
    <row r="122" spans="1:36">
      <c r="A122" t="s">
        <v>440</v>
      </c>
      <c r="B122" t="s">
        <v>36</v>
      </c>
      <c r="C122" t="s">
        <v>399</v>
      </c>
      <c r="D122" t="s">
        <v>446</v>
      </c>
      <c r="E122" s="18" t="s">
        <v>38</v>
      </c>
      <c r="F122" s="18" t="s">
        <v>441</v>
      </c>
      <c r="G122" t="s">
        <v>442</v>
      </c>
      <c r="H122" t="s">
        <v>41</v>
      </c>
      <c r="I122" s="8">
        <v>75000</v>
      </c>
      <c r="J122" s="8">
        <v>10</v>
      </c>
      <c r="K122" s="8"/>
      <c r="L122" s="8">
        <f t="shared" si="40"/>
        <v>10</v>
      </c>
      <c r="M122" s="9">
        <f t="shared" si="35"/>
        <v>750000</v>
      </c>
      <c r="N122" t="s">
        <v>442</v>
      </c>
      <c r="O122" t="s">
        <v>443</v>
      </c>
      <c r="P122" t="s">
        <v>43</v>
      </c>
      <c r="Q122" t="str">
        <f t="shared" si="41"/>
        <v>BRUTO</v>
      </c>
      <c r="R122" t="str">
        <f t="shared" si="42"/>
        <v>RETENCION</v>
      </c>
      <c r="S122" t="str">
        <f t="shared" si="43"/>
        <v>LIQUIDO A PAGAR</v>
      </c>
      <c r="T122" s="10">
        <f t="shared" si="36"/>
        <v>750000</v>
      </c>
      <c r="U122" s="11">
        <v>0.1525</v>
      </c>
      <c r="V122" s="12">
        <f t="shared" si="37"/>
        <v>114375</v>
      </c>
      <c r="W122" s="10">
        <f t="shared" si="38"/>
        <v>635625</v>
      </c>
      <c r="X122" s="10" t="s">
        <v>44</v>
      </c>
      <c r="Y122" t="s">
        <v>442</v>
      </c>
      <c r="Z122" t="s">
        <v>444</v>
      </c>
      <c r="AA122" t="s">
        <v>425</v>
      </c>
      <c r="AB122" t="s">
        <v>412</v>
      </c>
      <c r="AC122">
        <v>17743791</v>
      </c>
      <c r="AD122" s="13">
        <v>46173</v>
      </c>
      <c r="AE122" s="14" t="s">
        <v>48</v>
      </c>
      <c r="AF122" s="13">
        <v>46188</v>
      </c>
      <c r="AG122">
        <v>20260550</v>
      </c>
      <c r="AH122">
        <v>0</v>
      </c>
      <c r="AI122" s="15">
        <f t="shared" si="39"/>
        <v>635625</v>
      </c>
      <c r="AJ122" t="s">
        <v>445</v>
      </c>
    </row>
    <row r="123" spans="1:36">
      <c r="A123" t="s">
        <v>440</v>
      </c>
      <c r="B123" t="s">
        <v>36</v>
      </c>
      <c r="C123" t="s">
        <v>399</v>
      </c>
      <c r="D123" t="s">
        <v>447</v>
      </c>
      <c r="E123" s="18" t="s">
        <v>38</v>
      </c>
      <c r="F123" s="18" t="s">
        <v>448</v>
      </c>
      <c r="G123" t="s">
        <v>449</v>
      </c>
      <c r="H123" t="s">
        <v>41</v>
      </c>
      <c r="I123" s="8">
        <v>67500</v>
      </c>
      <c r="J123" s="8">
        <v>10</v>
      </c>
      <c r="K123" s="8"/>
      <c r="L123" s="8">
        <f t="shared" si="40"/>
        <v>10</v>
      </c>
      <c r="M123" s="9">
        <f t="shared" si="35"/>
        <v>675000</v>
      </c>
      <c r="N123" t="s">
        <v>450</v>
      </c>
      <c r="O123" t="s">
        <v>451</v>
      </c>
      <c r="P123" t="s">
        <v>77</v>
      </c>
      <c r="Q123" t="str">
        <f t="shared" si="41"/>
        <v>NETO</v>
      </c>
      <c r="R123" t="str">
        <f t="shared" si="42"/>
        <v>IMPUESTO</v>
      </c>
      <c r="S123" t="str">
        <f t="shared" si="43"/>
        <v>TOTAL</v>
      </c>
      <c r="T123" s="10">
        <f t="shared" si="36"/>
        <v>675000</v>
      </c>
      <c r="U123" s="11">
        <f t="shared" ref="U123" si="45">+IF(P123="TRATO",0,IF(P123="BOLETA",13%,19%))</f>
        <v>0.19</v>
      </c>
      <c r="V123" s="12">
        <f t="shared" si="37"/>
        <v>128250</v>
      </c>
      <c r="W123" s="10">
        <f t="shared" si="38"/>
        <v>803250</v>
      </c>
      <c r="X123" s="10" t="s">
        <v>44</v>
      </c>
      <c r="Y123" t="s">
        <v>450</v>
      </c>
      <c r="Z123" t="s">
        <v>452</v>
      </c>
      <c r="AA123" t="s">
        <v>210</v>
      </c>
      <c r="AB123" t="s">
        <v>105</v>
      </c>
      <c r="AC123">
        <v>994118202</v>
      </c>
      <c r="AD123" s="13">
        <v>46173</v>
      </c>
      <c r="AE123" s="14" t="s">
        <v>48</v>
      </c>
      <c r="AF123" s="13">
        <v>46188</v>
      </c>
      <c r="AG123">
        <v>20260551</v>
      </c>
      <c r="AH123">
        <v>0</v>
      </c>
      <c r="AI123" s="15">
        <f t="shared" si="39"/>
        <v>803250</v>
      </c>
      <c r="AJ123" t="s">
        <v>453</v>
      </c>
    </row>
    <row r="124" spans="1:36">
      <c r="A124" t="s">
        <v>440</v>
      </c>
      <c r="B124" t="s">
        <v>36</v>
      </c>
      <c r="C124" t="s">
        <v>399</v>
      </c>
      <c r="D124" t="s">
        <v>454</v>
      </c>
      <c r="E124" s="18" t="s">
        <v>38</v>
      </c>
      <c r="F124" s="18" t="s">
        <v>455</v>
      </c>
      <c r="G124" t="s">
        <v>456</v>
      </c>
      <c r="H124" t="s">
        <v>41</v>
      </c>
      <c r="I124" s="8">
        <v>85000</v>
      </c>
      <c r="J124" s="8">
        <v>10</v>
      </c>
      <c r="K124" s="8"/>
      <c r="L124" s="8">
        <f t="shared" si="40"/>
        <v>10</v>
      </c>
      <c r="M124" s="9">
        <f t="shared" si="35"/>
        <v>850000</v>
      </c>
      <c r="N124" t="s">
        <v>456</v>
      </c>
      <c r="O124" t="s">
        <v>457</v>
      </c>
      <c r="P124" t="s">
        <v>43</v>
      </c>
      <c r="Q124" t="str">
        <f t="shared" si="41"/>
        <v>BRUTO</v>
      </c>
      <c r="R124" t="str">
        <f t="shared" si="42"/>
        <v>RETENCION</v>
      </c>
      <c r="S124" t="str">
        <f t="shared" si="43"/>
        <v>LIQUIDO A PAGAR</v>
      </c>
      <c r="T124" s="10">
        <f t="shared" si="36"/>
        <v>850000</v>
      </c>
      <c r="U124" s="11">
        <v>0.1525</v>
      </c>
      <c r="V124" s="12">
        <f t="shared" si="37"/>
        <v>129625</v>
      </c>
      <c r="W124" s="10">
        <f t="shared" si="38"/>
        <v>720375</v>
      </c>
      <c r="X124" s="10" t="s">
        <v>44</v>
      </c>
      <c r="Y124" t="s">
        <v>456</v>
      </c>
      <c r="Z124" t="s">
        <v>458</v>
      </c>
      <c r="AA124" t="s">
        <v>425</v>
      </c>
      <c r="AB124" t="s">
        <v>412</v>
      </c>
      <c r="AC124">
        <v>12491586</v>
      </c>
      <c r="AD124" s="13">
        <v>46173</v>
      </c>
      <c r="AE124" s="14" t="s">
        <v>48</v>
      </c>
      <c r="AF124" s="13">
        <v>46188</v>
      </c>
      <c r="AG124">
        <v>20260552</v>
      </c>
      <c r="AH124">
        <v>0</v>
      </c>
      <c r="AI124" s="15">
        <f t="shared" si="39"/>
        <v>720375</v>
      </c>
      <c r="AJ124" t="s">
        <v>459</v>
      </c>
    </row>
    <row r="125" spans="1:36">
      <c r="A125" t="s">
        <v>460</v>
      </c>
      <c r="B125" t="s">
        <v>36</v>
      </c>
      <c r="C125" t="s">
        <v>399</v>
      </c>
      <c r="D125" t="s">
        <v>461</v>
      </c>
      <c r="E125" s="18" t="s">
        <v>38</v>
      </c>
      <c r="F125" s="18" t="s">
        <v>462</v>
      </c>
      <c r="G125" t="s">
        <v>463</v>
      </c>
      <c r="H125" t="s">
        <v>41</v>
      </c>
      <c r="I125" s="8">
        <v>21000</v>
      </c>
      <c r="J125" s="8">
        <v>10</v>
      </c>
      <c r="K125" s="8"/>
      <c r="L125" s="8">
        <f t="shared" si="40"/>
        <v>10</v>
      </c>
      <c r="M125" s="9">
        <f t="shared" si="35"/>
        <v>210000</v>
      </c>
      <c r="N125" t="s">
        <v>464</v>
      </c>
      <c r="O125" t="s">
        <v>465</v>
      </c>
      <c r="P125" t="s">
        <v>43</v>
      </c>
      <c r="Q125" t="str">
        <f t="shared" si="41"/>
        <v>BRUTO</v>
      </c>
      <c r="R125" t="str">
        <f t="shared" si="42"/>
        <v>RETENCION</v>
      </c>
      <c r="S125" t="str">
        <f t="shared" si="43"/>
        <v>LIQUIDO A PAGAR</v>
      </c>
      <c r="T125" s="10">
        <f t="shared" si="36"/>
        <v>210000</v>
      </c>
      <c r="U125" s="11">
        <v>0.1525</v>
      </c>
      <c r="V125" s="12">
        <f t="shared" si="37"/>
        <v>32025</v>
      </c>
      <c r="W125" s="10">
        <f t="shared" si="38"/>
        <v>177975</v>
      </c>
      <c r="X125" s="10" t="s">
        <v>44</v>
      </c>
      <c r="Y125" t="s">
        <v>464</v>
      </c>
      <c r="Z125" t="s">
        <v>466</v>
      </c>
      <c r="AA125" t="s">
        <v>467</v>
      </c>
      <c r="AB125" t="s">
        <v>47</v>
      </c>
      <c r="AC125">
        <v>1080347535</v>
      </c>
      <c r="AD125" s="13">
        <v>46173</v>
      </c>
      <c r="AE125" s="14" t="s">
        <v>48</v>
      </c>
      <c r="AF125" s="13">
        <v>46188</v>
      </c>
      <c r="AG125">
        <v>20260553</v>
      </c>
      <c r="AH125">
        <v>0</v>
      </c>
      <c r="AI125" s="15">
        <f t="shared" si="39"/>
        <v>177975</v>
      </c>
      <c r="AJ125" t="s">
        <v>468</v>
      </c>
    </row>
    <row r="126" spans="1:36">
      <c r="A126" t="s">
        <v>460</v>
      </c>
      <c r="B126" t="s">
        <v>36</v>
      </c>
      <c r="C126" t="s">
        <v>399</v>
      </c>
      <c r="D126" t="s">
        <v>469</v>
      </c>
      <c r="E126" s="18" t="s">
        <v>38</v>
      </c>
      <c r="F126" s="18" t="s">
        <v>462</v>
      </c>
      <c r="G126" t="s">
        <v>463</v>
      </c>
      <c r="H126" t="s">
        <v>41</v>
      </c>
      <c r="I126" s="8">
        <v>21000</v>
      </c>
      <c r="J126" s="8">
        <v>10</v>
      </c>
      <c r="K126" s="8"/>
      <c r="L126" s="8">
        <f t="shared" si="40"/>
        <v>10</v>
      </c>
      <c r="M126" s="9">
        <f t="shared" si="35"/>
        <v>210000</v>
      </c>
      <c r="N126" t="s">
        <v>464</v>
      </c>
      <c r="O126" t="s">
        <v>465</v>
      </c>
      <c r="P126" t="s">
        <v>43</v>
      </c>
      <c r="Q126" t="str">
        <f t="shared" si="41"/>
        <v>BRUTO</v>
      </c>
      <c r="R126" t="str">
        <f t="shared" si="42"/>
        <v>RETENCION</v>
      </c>
      <c r="S126" t="str">
        <f t="shared" si="43"/>
        <v>LIQUIDO A PAGAR</v>
      </c>
      <c r="T126" s="10">
        <f t="shared" si="36"/>
        <v>210000</v>
      </c>
      <c r="U126" s="11">
        <v>0.1525</v>
      </c>
      <c r="V126" s="12">
        <f t="shared" si="37"/>
        <v>32025</v>
      </c>
      <c r="W126" s="10">
        <f t="shared" si="38"/>
        <v>177975</v>
      </c>
      <c r="X126" s="10" t="s">
        <v>44</v>
      </c>
      <c r="Y126" t="s">
        <v>464</v>
      </c>
      <c r="Z126" t="s">
        <v>466</v>
      </c>
      <c r="AA126" t="s">
        <v>467</v>
      </c>
      <c r="AB126" t="s">
        <v>47</v>
      </c>
      <c r="AC126">
        <v>1080347535</v>
      </c>
      <c r="AD126" s="13">
        <v>46173</v>
      </c>
      <c r="AE126" s="14" t="s">
        <v>48</v>
      </c>
      <c r="AF126" s="13">
        <v>46188</v>
      </c>
      <c r="AG126">
        <v>20260553</v>
      </c>
      <c r="AH126">
        <v>0</v>
      </c>
      <c r="AI126" s="15">
        <f t="shared" si="39"/>
        <v>177975</v>
      </c>
      <c r="AJ126" t="s">
        <v>468</v>
      </c>
    </row>
    <row r="127" spans="1:36">
      <c r="A127" t="s">
        <v>460</v>
      </c>
      <c r="B127" t="s">
        <v>36</v>
      </c>
      <c r="C127" t="s">
        <v>399</v>
      </c>
      <c r="D127" t="s">
        <v>470</v>
      </c>
      <c r="E127" s="18" t="s">
        <v>38</v>
      </c>
      <c r="F127" s="18" t="s">
        <v>462</v>
      </c>
      <c r="G127" t="s">
        <v>463</v>
      </c>
      <c r="H127" t="s">
        <v>41</v>
      </c>
      <c r="I127" s="8">
        <v>21000</v>
      </c>
      <c r="J127" s="8">
        <v>10</v>
      </c>
      <c r="K127" s="8"/>
      <c r="L127" s="8">
        <f t="shared" si="40"/>
        <v>10</v>
      </c>
      <c r="M127" s="9">
        <f t="shared" si="35"/>
        <v>210000</v>
      </c>
      <c r="N127" t="s">
        <v>464</v>
      </c>
      <c r="O127" t="s">
        <v>465</v>
      </c>
      <c r="P127" t="s">
        <v>43</v>
      </c>
      <c r="Q127" t="str">
        <f t="shared" si="41"/>
        <v>BRUTO</v>
      </c>
      <c r="R127" t="str">
        <f t="shared" si="42"/>
        <v>RETENCION</v>
      </c>
      <c r="S127" t="str">
        <f t="shared" si="43"/>
        <v>LIQUIDO A PAGAR</v>
      </c>
      <c r="T127" s="10">
        <f t="shared" si="36"/>
        <v>210000</v>
      </c>
      <c r="U127" s="11">
        <v>0.1525</v>
      </c>
      <c r="V127" s="12">
        <f t="shared" si="37"/>
        <v>32025</v>
      </c>
      <c r="W127" s="10">
        <f t="shared" si="38"/>
        <v>177975</v>
      </c>
      <c r="X127" s="10" t="s">
        <v>44</v>
      </c>
      <c r="Y127" t="s">
        <v>464</v>
      </c>
      <c r="Z127" t="s">
        <v>466</v>
      </c>
      <c r="AA127" t="s">
        <v>467</v>
      </c>
      <c r="AB127" t="s">
        <v>47</v>
      </c>
      <c r="AC127">
        <v>1080347535</v>
      </c>
      <c r="AD127" s="13">
        <v>46173</v>
      </c>
      <c r="AE127" s="14" t="s">
        <v>48</v>
      </c>
      <c r="AF127" s="13">
        <v>46188</v>
      </c>
      <c r="AG127">
        <v>20260553</v>
      </c>
      <c r="AH127">
        <v>0</v>
      </c>
      <c r="AI127" s="15">
        <f t="shared" si="39"/>
        <v>177975</v>
      </c>
      <c r="AJ127" t="s">
        <v>468</v>
      </c>
    </row>
    <row r="128" spans="1:36">
      <c r="A128" t="s">
        <v>460</v>
      </c>
      <c r="B128" t="s">
        <v>36</v>
      </c>
      <c r="C128" t="s">
        <v>399</v>
      </c>
      <c r="D128" t="s">
        <v>471</v>
      </c>
      <c r="E128" s="18" t="s">
        <v>38</v>
      </c>
      <c r="F128" s="18" t="s">
        <v>462</v>
      </c>
      <c r="G128" t="s">
        <v>463</v>
      </c>
      <c r="H128" t="s">
        <v>41</v>
      </c>
      <c r="I128" s="8">
        <v>21000</v>
      </c>
      <c r="J128" s="8">
        <v>10</v>
      </c>
      <c r="K128" s="8"/>
      <c r="L128" s="8">
        <f t="shared" si="40"/>
        <v>10</v>
      </c>
      <c r="M128" s="9">
        <f t="shared" si="35"/>
        <v>210000</v>
      </c>
      <c r="N128" t="s">
        <v>464</v>
      </c>
      <c r="O128" t="s">
        <v>465</v>
      </c>
      <c r="P128" t="s">
        <v>43</v>
      </c>
      <c r="Q128" t="str">
        <f t="shared" si="41"/>
        <v>BRUTO</v>
      </c>
      <c r="R128" t="str">
        <f t="shared" si="42"/>
        <v>RETENCION</v>
      </c>
      <c r="S128" t="str">
        <f t="shared" si="43"/>
        <v>LIQUIDO A PAGAR</v>
      </c>
      <c r="T128" s="10">
        <f t="shared" si="36"/>
        <v>210000</v>
      </c>
      <c r="U128" s="11">
        <v>0.1525</v>
      </c>
      <c r="V128" s="12">
        <f t="shared" si="37"/>
        <v>32025</v>
      </c>
      <c r="W128" s="10">
        <f t="shared" si="38"/>
        <v>177975</v>
      </c>
      <c r="X128" s="10" t="s">
        <v>44</v>
      </c>
      <c r="Y128" t="s">
        <v>464</v>
      </c>
      <c r="Z128" t="s">
        <v>466</v>
      </c>
      <c r="AA128" t="s">
        <v>467</v>
      </c>
      <c r="AB128" t="s">
        <v>47</v>
      </c>
      <c r="AC128">
        <v>1080347535</v>
      </c>
      <c r="AD128" s="13">
        <v>46173</v>
      </c>
      <c r="AE128" s="14" t="s">
        <v>48</v>
      </c>
      <c r="AF128" s="13">
        <v>46188</v>
      </c>
      <c r="AG128">
        <v>20260553</v>
      </c>
      <c r="AH128">
        <v>0</v>
      </c>
      <c r="AI128" s="15">
        <f t="shared" si="39"/>
        <v>177975</v>
      </c>
      <c r="AJ128" t="s">
        <v>468</v>
      </c>
    </row>
    <row r="129" spans="1:36">
      <c r="A129" t="s">
        <v>460</v>
      </c>
      <c r="B129" t="s">
        <v>36</v>
      </c>
      <c r="C129" t="s">
        <v>399</v>
      </c>
      <c r="D129" t="s">
        <v>472</v>
      </c>
      <c r="E129" s="18" t="s">
        <v>38</v>
      </c>
      <c r="F129" s="18" t="s">
        <v>462</v>
      </c>
      <c r="G129" t="s">
        <v>463</v>
      </c>
      <c r="H129" t="s">
        <v>41</v>
      </c>
      <c r="I129" s="8">
        <v>21000</v>
      </c>
      <c r="J129" s="8">
        <v>10</v>
      </c>
      <c r="K129" s="8"/>
      <c r="L129" s="8">
        <f t="shared" si="40"/>
        <v>10</v>
      </c>
      <c r="M129" s="9">
        <f t="shared" si="35"/>
        <v>210000</v>
      </c>
      <c r="N129" t="s">
        <v>464</v>
      </c>
      <c r="O129" t="s">
        <v>465</v>
      </c>
      <c r="P129" t="s">
        <v>43</v>
      </c>
      <c r="Q129" t="str">
        <f t="shared" si="41"/>
        <v>BRUTO</v>
      </c>
      <c r="R129" t="str">
        <f t="shared" si="42"/>
        <v>RETENCION</v>
      </c>
      <c r="S129" t="str">
        <f t="shared" si="43"/>
        <v>LIQUIDO A PAGAR</v>
      </c>
      <c r="T129" s="10">
        <f t="shared" si="36"/>
        <v>210000</v>
      </c>
      <c r="U129" s="11">
        <v>0.1525</v>
      </c>
      <c r="V129" s="12">
        <f t="shared" si="37"/>
        <v>32025</v>
      </c>
      <c r="W129" s="10">
        <f t="shared" si="38"/>
        <v>177975</v>
      </c>
      <c r="X129" s="10" t="s">
        <v>44</v>
      </c>
      <c r="Y129" t="s">
        <v>464</v>
      </c>
      <c r="Z129" t="s">
        <v>466</v>
      </c>
      <c r="AA129" t="s">
        <v>467</v>
      </c>
      <c r="AB129" t="s">
        <v>47</v>
      </c>
      <c r="AC129">
        <v>1080347535</v>
      </c>
      <c r="AD129" s="13">
        <v>46173</v>
      </c>
      <c r="AE129" s="14" t="s">
        <v>48</v>
      </c>
      <c r="AF129" s="13">
        <v>46188</v>
      </c>
      <c r="AG129">
        <v>20260553</v>
      </c>
      <c r="AH129">
        <v>0</v>
      </c>
      <c r="AI129" s="15">
        <f t="shared" si="39"/>
        <v>177975</v>
      </c>
      <c r="AJ129" t="s">
        <v>468</v>
      </c>
    </row>
    <row r="130" spans="1:36">
      <c r="A130" t="s">
        <v>460</v>
      </c>
      <c r="B130" t="s">
        <v>36</v>
      </c>
      <c r="C130" t="s">
        <v>399</v>
      </c>
      <c r="D130" t="s">
        <v>473</v>
      </c>
      <c r="E130" s="18" t="s">
        <v>38</v>
      </c>
      <c r="F130" s="18" t="s">
        <v>474</v>
      </c>
      <c r="G130" t="s">
        <v>475</v>
      </c>
      <c r="H130" t="s">
        <v>41</v>
      </c>
      <c r="I130" s="8">
        <v>15000</v>
      </c>
      <c r="J130" s="8">
        <v>10</v>
      </c>
      <c r="K130" s="8"/>
      <c r="L130" s="8">
        <f t="shared" si="40"/>
        <v>10</v>
      </c>
      <c r="M130" s="9">
        <f t="shared" si="35"/>
        <v>150000</v>
      </c>
      <c r="N130" t="s">
        <v>475</v>
      </c>
      <c r="O130" t="s">
        <v>476</v>
      </c>
      <c r="P130" t="s">
        <v>43</v>
      </c>
      <c r="Q130" t="str">
        <f t="shared" si="41"/>
        <v>BRUTO</v>
      </c>
      <c r="R130" t="str">
        <f t="shared" si="42"/>
        <v>RETENCION</v>
      </c>
      <c r="S130" t="str">
        <f t="shared" si="43"/>
        <v>LIQUIDO A PAGAR</v>
      </c>
      <c r="T130" s="10">
        <f t="shared" si="36"/>
        <v>150000</v>
      </c>
      <c r="U130" s="11">
        <v>0.1525</v>
      </c>
      <c r="V130" s="12">
        <f t="shared" si="37"/>
        <v>22875</v>
      </c>
      <c r="W130" s="10">
        <f t="shared" si="38"/>
        <v>127125</v>
      </c>
      <c r="X130" s="10" t="s">
        <v>44</v>
      </c>
      <c r="Y130" t="s">
        <v>475</v>
      </c>
      <c r="Z130" t="s">
        <v>477</v>
      </c>
      <c r="AA130" t="s">
        <v>425</v>
      </c>
      <c r="AB130" t="s">
        <v>412</v>
      </c>
      <c r="AC130">
        <v>11700380</v>
      </c>
      <c r="AD130" s="13">
        <v>46173</v>
      </c>
      <c r="AE130" s="14" t="s">
        <v>48</v>
      </c>
      <c r="AF130" s="13">
        <v>46188</v>
      </c>
      <c r="AG130">
        <v>20260554</v>
      </c>
      <c r="AH130">
        <v>0</v>
      </c>
      <c r="AI130" s="15">
        <f t="shared" ref="AI130:AI162" si="46">+W130-AH130</f>
        <v>127125</v>
      </c>
      <c r="AJ130" t="s">
        <v>478</v>
      </c>
    </row>
    <row r="131" spans="1:36">
      <c r="A131" t="s">
        <v>460</v>
      </c>
      <c r="B131" t="s">
        <v>36</v>
      </c>
      <c r="C131" t="s">
        <v>399</v>
      </c>
      <c r="D131" t="s">
        <v>479</v>
      </c>
      <c r="E131" s="18" t="s">
        <v>38</v>
      </c>
      <c r="F131" s="18" t="s">
        <v>474</v>
      </c>
      <c r="G131" t="s">
        <v>475</v>
      </c>
      <c r="H131" t="s">
        <v>41</v>
      </c>
      <c r="I131" s="8">
        <v>15000</v>
      </c>
      <c r="J131" s="8">
        <v>10</v>
      </c>
      <c r="K131" s="8"/>
      <c r="L131" s="8">
        <f t="shared" si="40"/>
        <v>10</v>
      </c>
      <c r="M131" s="9">
        <f t="shared" si="35"/>
        <v>150000</v>
      </c>
      <c r="N131" t="s">
        <v>475</v>
      </c>
      <c r="O131" t="s">
        <v>476</v>
      </c>
      <c r="P131" t="s">
        <v>43</v>
      </c>
      <c r="Q131" t="str">
        <f t="shared" si="41"/>
        <v>BRUTO</v>
      </c>
      <c r="R131" t="str">
        <f t="shared" si="42"/>
        <v>RETENCION</v>
      </c>
      <c r="S131" t="str">
        <f t="shared" si="43"/>
        <v>LIQUIDO A PAGAR</v>
      </c>
      <c r="T131" s="10">
        <f t="shared" si="36"/>
        <v>150000</v>
      </c>
      <c r="U131" s="11">
        <v>0.1525</v>
      </c>
      <c r="V131" s="12">
        <f t="shared" si="37"/>
        <v>22875</v>
      </c>
      <c r="W131" s="10">
        <f t="shared" si="38"/>
        <v>127125</v>
      </c>
      <c r="X131" s="10" t="s">
        <v>44</v>
      </c>
      <c r="Y131" t="s">
        <v>475</v>
      </c>
      <c r="Z131" t="s">
        <v>477</v>
      </c>
      <c r="AA131" t="s">
        <v>425</v>
      </c>
      <c r="AB131" t="s">
        <v>412</v>
      </c>
      <c r="AC131">
        <v>11700380</v>
      </c>
      <c r="AD131" s="13">
        <v>46173</v>
      </c>
      <c r="AE131" s="14" t="s">
        <v>48</v>
      </c>
      <c r="AF131" s="13">
        <v>46188</v>
      </c>
      <c r="AG131">
        <v>20260554</v>
      </c>
      <c r="AH131">
        <v>0</v>
      </c>
      <c r="AI131" s="15">
        <f t="shared" si="46"/>
        <v>127125</v>
      </c>
      <c r="AJ131" t="s">
        <v>478</v>
      </c>
    </row>
    <row r="132" spans="1:36">
      <c r="A132" t="s">
        <v>480</v>
      </c>
      <c r="B132" t="s">
        <v>36</v>
      </c>
      <c r="C132" t="s">
        <v>399</v>
      </c>
      <c r="D132" t="s">
        <v>481</v>
      </c>
      <c r="E132" s="18" t="s">
        <v>38</v>
      </c>
      <c r="F132" s="18" t="s">
        <v>474</v>
      </c>
      <c r="G132" t="s">
        <v>475</v>
      </c>
      <c r="H132" t="s">
        <v>41</v>
      </c>
      <c r="I132" s="8">
        <v>15000</v>
      </c>
      <c r="J132" s="8">
        <v>10</v>
      </c>
      <c r="K132" s="8">
        <v>5</v>
      </c>
      <c r="L132" s="8">
        <f t="shared" si="40"/>
        <v>5</v>
      </c>
      <c r="M132" s="9">
        <f t="shared" si="35"/>
        <v>75000</v>
      </c>
      <c r="N132" t="s">
        <v>475</v>
      </c>
      <c r="O132" t="s">
        <v>476</v>
      </c>
      <c r="P132" t="s">
        <v>43</v>
      </c>
      <c r="Q132" t="str">
        <f t="shared" si="41"/>
        <v>BRUTO</v>
      </c>
      <c r="R132" t="str">
        <f t="shared" si="42"/>
        <v>RETENCION</v>
      </c>
      <c r="S132" t="str">
        <f t="shared" si="43"/>
        <v>LIQUIDO A PAGAR</v>
      </c>
      <c r="T132" s="10">
        <f t="shared" si="36"/>
        <v>75000</v>
      </c>
      <c r="U132" s="11">
        <v>0.1525</v>
      </c>
      <c r="V132" s="12">
        <f t="shared" si="37"/>
        <v>11437.5</v>
      </c>
      <c r="W132" s="10">
        <f t="shared" si="38"/>
        <v>63562</v>
      </c>
      <c r="X132" s="10" t="s">
        <v>44</v>
      </c>
      <c r="Y132" t="s">
        <v>475</v>
      </c>
      <c r="Z132" t="s">
        <v>477</v>
      </c>
      <c r="AA132" t="s">
        <v>425</v>
      </c>
      <c r="AB132" t="s">
        <v>412</v>
      </c>
      <c r="AC132">
        <v>11700380</v>
      </c>
      <c r="AD132" s="13">
        <v>46173</v>
      </c>
      <c r="AE132" s="14" t="s">
        <v>48</v>
      </c>
      <c r="AF132" s="13">
        <v>46188</v>
      </c>
      <c r="AG132">
        <v>20260554</v>
      </c>
      <c r="AH132">
        <v>0</v>
      </c>
      <c r="AI132" s="15">
        <f t="shared" si="46"/>
        <v>63562</v>
      </c>
      <c r="AJ132" t="s">
        <v>478</v>
      </c>
    </row>
    <row r="133" spans="1:36">
      <c r="A133" t="s">
        <v>480</v>
      </c>
      <c r="B133" t="s">
        <v>36</v>
      </c>
      <c r="C133" t="s">
        <v>399</v>
      </c>
      <c r="D133" t="s">
        <v>482</v>
      </c>
      <c r="E133" s="18" t="s">
        <v>38</v>
      </c>
      <c r="F133" s="18" t="s">
        <v>474</v>
      </c>
      <c r="G133" t="s">
        <v>475</v>
      </c>
      <c r="H133" t="s">
        <v>41</v>
      </c>
      <c r="I133" s="8">
        <v>15000</v>
      </c>
      <c r="J133" s="8">
        <v>10</v>
      </c>
      <c r="K133" s="8">
        <v>5</v>
      </c>
      <c r="L133" s="8">
        <f t="shared" si="40"/>
        <v>5</v>
      </c>
      <c r="M133" s="9">
        <f t="shared" si="35"/>
        <v>75000</v>
      </c>
      <c r="N133" t="s">
        <v>475</v>
      </c>
      <c r="O133" t="s">
        <v>476</v>
      </c>
      <c r="P133" t="s">
        <v>43</v>
      </c>
      <c r="Q133" t="str">
        <f t="shared" si="41"/>
        <v>BRUTO</v>
      </c>
      <c r="R133" t="str">
        <f t="shared" si="42"/>
        <v>RETENCION</v>
      </c>
      <c r="S133" t="str">
        <f t="shared" si="43"/>
        <v>LIQUIDO A PAGAR</v>
      </c>
      <c r="T133" s="10">
        <f t="shared" si="36"/>
        <v>75000</v>
      </c>
      <c r="U133" s="11">
        <v>0.1525</v>
      </c>
      <c r="V133" s="12">
        <f t="shared" si="37"/>
        <v>11437.5</v>
      </c>
      <c r="W133" s="10">
        <f t="shared" si="38"/>
        <v>63562</v>
      </c>
      <c r="X133" s="10" t="s">
        <v>44</v>
      </c>
      <c r="Y133" t="s">
        <v>475</v>
      </c>
      <c r="Z133" t="s">
        <v>477</v>
      </c>
      <c r="AA133" t="s">
        <v>425</v>
      </c>
      <c r="AB133" t="s">
        <v>412</v>
      </c>
      <c r="AC133">
        <v>11700380</v>
      </c>
      <c r="AD133" s="13">
        <v>46173</v>
      </c>
      <c r="AE133" s="14" t="s">
        <v>48</v>
      </c>
      <c r="AF133" s="13">
        <v>46188</v>
      </c>
      <c r="AG133">
        <v>20260554</v>
      </c>
      <c r="AH133">
        <v>0</v>
      </c>
      <c r="AI133" s="15">
        <f t="shared" si="46"/>
        <v>63562</v>
      </c>
      <c r="AJ133" t="s">
        <v>478</v>
      </c>
    </row>
    <row r="134" spans="1:36">
      <c r="A134" t="s">
        <v>483</v>
      </c>
      <c r="B134" t="s">
        <v>36</v>
      </c>
      <c r="C134" t="s">
        <v>399</v>
      </c>
      <c r="D134" t="s">
        <v>484</v>
      </c>
      <c r="E134" s="18" t="s">
        <v>38</v>
      </c>
      <c r="F134" s="18" t="s">
        <v>485</v>
      </c>
      <c r="G134" t="s">
        <v>486</v>
      </c>
      <c r="H134" t="s">
        <v>41</v>
      </c>
      <c r="I134" s="8">
        <v>137500</v>
      </c>
      <c r="J134" s="8">
        <v>10</v>
      </c>
      <c r="K134" s="8"/>
      <c r="L134" s="8">
        <f t="shared" si="40"/>
        <v>10</v>
      </c>
      <c r="M134" s="9">
        <f t="shared" si="35"/>
        <v>1375000</v>
      </c>
      <c r="N134" t="s">
        <v>236</v>
      </c>
      <c r="O134" t="s">
        <v>238</v>
      </c>
      <c r="P134" t="s">
        <v>77</v>
      </c>
      <c r="Q134" t="str">
        <f t="shared" si="41"/>
        <v>NETO</v>
      </c>
      <c r="R134" t="str">
        <f t="shared" si="42"/>
        <v>IMPUESTO</v>
      </c>
      <c r="S134" t="str">
        <f t="shared" si="43"/>
        <v>TOTAL</v>
      </c>
      <c r="T134" s="10">
        <f t="shared" si="36"/>
        <v>1375000</v>
      </c>
      <c r="U134" s="11">
        <v>0.19</v>
      </c>
      <c r="V134" s="12">
        <f t="shared" si="37"/>
        <v>261250</v>
      </c>
      <c r="W134" s="10">
        <f t="shared" si="38"/>
        <v>1636250</v>
      </c>
      <c r="X134" s="10" t="s">
        <v>44</v>
      </c>
      <c r="Y134" t="s">
        <v>236</v>
      </c>
      <c r="Z134" t="s">
        <v>239</v>
      </c>
      <c r="AA134" t="s">
        <v>46</v>
      </c>
      <c r="AB134" t="s">
        <v>105</v>
      </c>
      <c r="AC134">
        <v>10090009120</v>
      </c>
      <c r="AD134" s="13">
        <v>46173</v>
      </c>
      <c r="AE134" s="14" t="s">
        <v>48</v>
      </c>
      <c r="AF134" s="13">
        <v>46188</v>
      </c>
      <c r="AG134">
        <v>20260555</v>
      </c>
      <c r="AH134">
        <v>0</v>
      </c>
      <c r="AI134" s="15">
        <f t="shared" si="46"/>
        <v>1636250</v>
      </c>
      <c r="AJ134" t="s">
        <v>487</v>
      </c>
    </row>
    <row r="135" spans="1:36">
      <c r="A135" t="s">
        <v>483</v>
      </c>
      <c r="B135" t="s">
        <v>488</v>
      </c>
      <c r="C135" t="s">
        <v>399</v>
      </c>
      <c r="D135" t="s">
        <v>489</v>
      </c>
      <c r="E135" s="18" t="s">
        <v>38</v>
      </c>
      <c r="F135" s="18" t="s">
        <v>485</v>
      </c>
      <c r="G135" t="s">
        <v>486</v>
      </c>
      <c r="H135" t="s">
        <v>41</v>
      </c>
      <c r="I135" s="8">
        <v>45000</v>
      </c>
      <c r="J135" s="8">
        <v>10</v>
      </c>
      <c r="K135" s="8"/>
      <c r="L135" s="8">
        <f t="shared" si="40"/>
        <v>10</v>
      </c>
      <c r="M135" s="9">
        <f t="shared" si="35"/>
        <v>450000</v>
      </c>
      <c r="N135" t="s">
        <v>236</v>
      </c>
      <c r="O135" t="s">
        <v>238</v>
      </c>
      <c r="P135" t="s">
        <v>77</v>
      </c>
      <c r="Q135" t="str">
        <f t="shared" si="41"/>
        <v>NETO</v>
      </c>
      <c r="R135" t="str">
        <f t="shared" si="42"/>
        <v>IMPUESTO</v>
      </c>
      <c r="S135" t="str">
        <f t="shared" si="43"/>
        <v>TOTAL</v>
      </c>
      <c r="T135" s="10">
        <f t="shared" si="36"/>
        <v>450000</v>
      </c>
      <c r="U135" s="11">
        <v>0.19</v>
      </c>
      <c r="V135" s="12">
        <f t="shared" si="37"/>
        <v>85500</v>
      </c>
      <c r="W135" s="10">
        <f t="shared" si="38"/>
        <v>535500</v>
      </c>
      <c r="X135" s="10" t="s">
        <v>44</v>
      </c>
      <c r="Y135" t="s">
        <v>236</v>
      </c>
      <c r="Z135" t="s">
        <v>239</v>
      </c>
      <c r="AA135" t="s">
        <v>46</v>
      </c>
      <c r="AB135" t="s">
        <v>105</v>
      </c>
      <c r="AC135">
        <v>10090009120</v>
      </c>
      <c r="AD135" s="13">
        <v>46173</v>
      </c>
      <c r="AE135" s="14" t="s">
        <v>48</v>
      </c>
      <c r="AF135" s="13">
        <v>46188</v>
      </c>
      <c r="AG135">
        <v>20260555</v>
      </c>
      <c r="AH135">
        <v>0</v>
      </c>
      <c r="AI135" s="15">
        <f t="shared" si="46"/>
        <v>535500</v>
      </c>
      <c r="AJ135" t="s">
        <v>487</v>
      </c>
    </row>
    <row r="136" spans="1:36">
      <c r="A136" t="s">
        <v>483</v>
      </c>
      <c r="B136" t="s">
        <v>36</v>
      </c>
      <c r="C136" t="s">
        <v>399</v>
      </c>
      <c r="D136" t="s">
        <v>484</v>
      </c>
      <c r="E136" s="18" t="s">
        <v>38</v>
      </c>
      <c r="F136" s="18" t="s">
        <v>658</v>
      </c>
      <c r="G136" t="s">
        <v>490</v>
      </c>
      <c r="H136" t="s">
        <v>41</v>
      </c>
      <c r="I136" s="8">
        <v>112500</v>
      </c>
      <c r="J136" s="8">
        <v>10</v>
      </c>
      <c r="K136" s="8"/>
      <c r="L136" s="8">
        <f t="shared" si="40"/>
        <v>10</v>
      </c>
      <c r="M136" s="9">
        <f t="shared" si="35"/>
        <v>1125000</v>
      </c>
      <c r="N136" t="s">
        <v>490</v>
      </c>
      <c r="O136" t="s">
        <v>491</v>
      </c>
      <c r="P136" t="s">
        <v>43</v>
      </c>
      <c r="Q136" t="str">
        <f t="shared" si="41"/>
        <v>BRUTO</v>
      </c>
      <c r="R136" t="str">
        <f t="shared" si="42"/>
        <v>RETENCION</v>
      </c>
      <c r="S136" t="str">
        <f t="shared" si="43"/>
        <v>LIQUIDO A PAGAR</v>
      </c>
      <c r="T136" s="10">
        <f t="shared" si="36"/>
        <v>1125000</v>
      </c>
      <c r="U136" s="11">
        <v>0.1525</v>
      </c>
      <c r="V136" s="12">
        <f t="shared" si="37"/>
        <v>171562.5</v>
      </c>
      <c r="W136" s="10">
        <f t="shared" si="38"/>
        <v>953437</v>
      </c>
      <c r="X136" s="10" t="s">
        <v>44</v>
      </c>
      <c r="Y136" t="s">
        <v>490</v>
      </c>
      <c r="Z136" t="s">
        <v>492</v>
      </c>
      <c r="AA136" t="s">
        <v>425</v>
      </c>
      <c r="AB136" t="s">
        <v>412</v>
      </c>
      <c r="AC136">
        <v>9196685</v>
      </c>
      <c r="AD136" s="13">
        <v>46173</v>
      </c>
      <c r="AE136" s="14" t="s">
        <v>48</v>
      </c>
      <c r="AF136" s="13">
        <v>46188</v>
      </c>
      <c r="AG136">
        <v>20260556</v>
      </c>
      <c r="AH136">
        <v>0</v>
      </c>
      <c r="AI136" s="15">
        <f t="shared" si="46"/>
        <v>953437</v>
      </c>
      <c r="AJ136" t="s">
        <v>493</v>
      </c>
    </row>
    <row r="137" spans="1:36">
      <c r="A137" t="s">
        <v>494</v>
      </c>
      <c r="B137" t="s">
        <v>36</v>
      </c>
      <c r="C137" t="s">
        <v>494</v>
      </c>
      <c r="D137" t="s">
        <v>495</v>
      </c>
      <c r="E137" s="18" t="s">
        <v>38</v>
      </c>
      <c r="F137" s="18" t="s">
        <v>496</v>
      </c>
      <c r="G137" t="s">
        <v>497</v>
      </c>
      <c r="H137" t="s">
        <v>41</v>
      </c>
      <c r="I137" s="8">
        <v>17000</v>
      </c>
      <c r="J137" s="8">
        <v>10</v>
      </c>
      <c r="K137" s="8"/>
      <c r="L137" s="8">
        <f t="shared" si="40"/>
        <v>10</v>
      </c>
      <c r="M137" s="9">
        <f t="shared" si="35"/>
        <v>170000</v>
      </c>
      <c r="N137" t="s">
        <v>497</v>
      </c>
      <c r="O137" t="s">
        <v>498</v>
      </c>
      <c r="P137" t="s">
        <v>77</v>
      </c>
      <c r="Q137" t="str">
        <f t="shared" si="41"/>
        <v>NETO</v>
      </c>
      <c r="R137" t="str">
        <f t="shared" si="42"/>
        <v>IMPUESTO</v>
      </c>
      <c r="S137" t="str">
        <f t="shared" si="43"/>
        <v>TOTAL</v>
      </c>
      <c r="T137" s="10">
        <f t="shared" si="36"/>
        <v>170000</v>
      </c>
      <c r="U137" s="11">
        <f t="shared" ref="U137:U172" si="47">+IF(P137="TRATO",0,IF(P137="BOLETA",13%,19%))</f>
        <v>0.19</v>
      </c>
      <c r="V137" s="12">
        <f t="shared" si="37"/>
        <v>32300</v>
      </c>
      <c r="W137" s="10">
        <f t="shared" si="38"/>
        <v>202300</v>
      </c>
      <c r="X137" s="10" t="s">
        <v>44</v>
      </c>
      <c r="Y137" t="s">
        <v>497</v>
      </c>
      <c r="Z137" t="s">
        <v>499</v>
      </c>
      <c r="AA137" t="s">
        <v>500</v>
      </c>
      <c r="AB137" t="s">
        <v>105</v>
      </c>
      <c r="AC137">
        <v>220743902</v>
      </c>
      <c r="AD137" s="13">
        <v>46173</v>
      </c>
      <c r="AE137" s="14" t="s">
        <v>48</v>
      </c>
      <c r="AF137" s="13">
        <v>46188</v>
      </c>
      <c r="AG137">
        <v>20260557</v>
      </c>
      <c r="AH137">
        <v>0</v>
      </c>
      <c r="AI137" s="15">
        <f t="shared" si="46"/>
        <v>202300</v>
      </c>
      <c r="AJ137" t="s">
        <v>501</v>
      </c>
    </row>
    <row r="138" spans="1:36">
      <c r="A138" t="s">
        <v>494</v>
      </c>
      <c r="B138" t="s">
        <v>36</v>
      </c>
      <c r="C138" t="s">
        <v>494</v>
      </c>
      <c r="D138" t="s">
        <v>502</v>
      </c>
      <c r="E138" s="18" t="s">
        <v>38</v>
      </c>
      <c r="F138" s="18" t="s">
        <v>496</v>
      </c>
      <c r="G138" t="s">
        <v>497</v>
      </c>
      <c r="H138" t="s">
        <v>41</v>
      </c>
      <c r="I138" s="8">
        <v>17000</v>
      </c>
      <c r="J138" s="8">
        <v>10</v>
      </c>
      <c r="K138" s="8"/>
      <c r="L138" s="8">
        <f t="shared" si="40"/>
        <v>10</v>
      </c>
      <c r="M138" s="9">
        <f t="shared" ref="M138:M171" si="48">+I138*L138</f>
        <v>170000</v>
      </c>
      <c r="N138" t="s">
        <v>497</v>
      </c>
      <c r="O138" t="s">
        <v>498</v>
      </c>
      <c r="P138" t="s">
        <v>77</v>
      </c>
      <c r="Q138" t="str">
        <f t="shared" si="41"/>
        <v>NETO</v>
      </c>
      <c r="R138" t="str">
        <f t="shared" si="42"/>
        <v>IMPUESTO</v>
      </c>
      <c r="S138" t="str">
        <f t="shared" si="43"/>
        <v>TOTAL</v>
      </c>
      <c r="T138" s="10">
        <f t="shared" ref="T138:T172" si="49">+M138</f>
        <v>170000</v>
      </c>
      <c r="U138" s="11">
        <f t="shared" si="47"/>
        <v>0.19</v>
      </c>
      <c r="V138" s="12">
        <f t="shared" ref="V138:V172" si="50">+T138*U138</f>
        <v>32300</v>
      </c>
      <c r="W138" s="10">
        <f t="shared" ref="W138:W172" si="51">+IF(P138="BOLETA",INT(T138-V138),IF(P138="FACTURA EXENTA",INT(T138),INT(T138+V138)))</f>
        <v>202300</v>
      </c>
      <c r="X138" s="10" t="s">
        <v>44</v>
      </c>
      <c r="Y138" t="s">
        <v>497</v>
      </c>
      <c r="Z138" t="s">
        <v>499</v>
      </c>
      <c r="AA138" t="s">
        <v>500</v>
      </c>
      <c r="AB138" t="s">
        <v>105</v>
      </c>
      <c r="AC138">
        <v>220743902</v>
      </c>
      <c r="AD138" s="13">
        <v>46173</v>
      </c>
      <c r="AE138" s="14" t="s">
        <v>48</v>
      </c>
      <c r="AF138" s="13">
        <v>46188</v>
      </c>
      <c r="AG138">
        <v>20260557</v>
      </c>
      <c r="AH138">
        <v>0</v>
      </c>
      <c r="AI138" s="15">
        <f t="shared" si="46"/>
        <v>202300</v>
      </c>
      <c r="AJ138" t="s">
        <v>501</v>
      </c>
    </row>
    <row r="139" spans="1:36">
      <c r="A139" t="s">
        <v>494</v>
      </c>
      <c r="B139" t="s">
        <v>36</v>
      </c>
      <c r="C139" t="s">
        <v>494</v>
      </c>
      <c r="D139" t="s">
        <v>503</v>
      </c>
      <c r="E139" s="18" t="s">
        <v>38</v>
      </c>
      <c r="F139" s="18" t="s">
        <v>496</v>
      </c>
      <c r="G139" t="s">
        <v>497</v>
      </c>
      <c r="H139" t="s">
        <v>41</v>
      </c>
      <c r="I139" s="8">
        <v>17000</v>
      </c>
      <c r="J139" s="8">
        <v>10</v>
      </c>
      <c r="K139" s="8"/>
      <c r="L139" s="8">
        <f t="shared" si="40"/>
        <v>10</v>
      </c>
      <c r="M139" s="9">
        <f t="shared" si="48"/>
        <v>170000</v>
      </c>
      <c r="N139" t="s">
        <v>497</v>
      </c>
      <c r="O139" t="s">
        <v>498</v>
      </c>
      <c r="P139" t="s">
        <v>77</v>
      </c>
      <c r="Q139" t="str">
        <f t="shared" si="41"/>
        <v>NETO</v>
      </c>
      <c r="R139" t="str">
        <f t="shared" si="42"/>
        <v>IMPUESTO</v>
      </c>
      <c r="S139" t="str">
        <f t="shared" si="43"/>
        <v>TOTAL</v>
      </c>
      <c r="T139" s="10">
        <f t="shared" si="49"/>
        <v>170000</v>
      </c>
      <c r="U139" s="11">
        <f t="shared" si="47"/>
        <v>0.19</v>
      </c>
      <c r="V139" s="12">
        <f t="shared" si="50"/>
        <v>32300</v>
      </c>
      <c r="W139" s="10">
        <f t="shared" si="51"/>
        <v>202300</v>
      </c>
      <c r="X139" s="10" t="s">
        <v>44</v>
      </c>
      <c r="Y139" t="s">
        <v>497</v>
      </c>
      <c r="Z139" t="s">
        <v>499</v>
      </c>
      <c r="AA139" t="s">
        <v>500</v>
      </c>
      <c r="AB139" t="s">
        <v>105</v>
      </c>
      <c r="AC139">
        <v>220743902</v>
      </c>
      <c r="AD139" s="13">
        <v>46173</v>
      </c>
      <c r="AE139" s="14" t="s">
        <v>48</v>
      </c>
      <c r="AF139" s="13">
        <v>46188</v>
      </c>
      <c r="AG139">
        <v>20260557</v>
      </c>
      <c r="AH139">
        <v>0</v>
      </c>
      <c r="AI139" s="15">
        <f t="shared" si="46"/>
        <v>202300</v>
      </c>
      <c r="AJ139" t="s">
        <v>501</v>
      </c>
    </row>
    <row r="140" spans="1:36">
      <c r="A140" t="s">
        <v>494</v>
      </c>
      <c r="B140" t="s">
        <v>36</v>
      </c>
      <c r="C140" t="s">
        <v>494</v>
      </c>
      <c r="D140" t="s">
        <v>504</v>
      </c>
      <c r="E140" s="18" t="s">
        <v>38</v>
      </c>
      <c r="F140" s="18" t="s">
        <v>505</v>
      </c>
      <c r="G140" t="s">
        <v>506</v>
      </c>
      <c r="H140" t="s">
        <v>41</v>
      </c>
      <c r="I140" s="8">
        <v>24000</v>
      </c>
      <c r="J140" s="8">
        <v>10</v>
      </c>
      <c r="K140" s="8"/>
      <c r="L140" s="8">
        <f t="shared" si="40"/>
        <v>10</v>
      </c>
      <c r="M140" s="9">
        <f t="shared" si="48"/>
        <v>240000</v>
      </c>
      <c r="N140" t="s">
        <v>506</v>
      </c>
      <c r="O140" t="s">
        <v>507</v>
      </c>
      <c r="P140" t="s">
        <v>77</v>
      </c>
      <c r="Q140" t="str">
        <f t="shared" si="41"/>
        <v>NETO</v>
      </c>
      <c r="R140" t="str">
        <f t="shared" si="42"/>
        <v>IMPUESTO</v>
      </c>
      <c r="S140" t="str">
        <f t="shared" si="43"/>
        <v>TOTAL</v>
      </c>
      <c r="T140" s="10">
        <f t="shared" si="49"/>
        <v>240000</v>
      </c>
      <c r="U140" s="11">
        <f t="shared" si="47"/>
        <v>0.19</v>
      </c>
      <c r="V140" s="12">
        <f t="shared" si="50"/>
        <v>45600</v>
      </c>
      <c r="W140" s="10">
        <f t="shared" si="51"/>
        <v>285600</v>
      </c>
      <c r="X140" s="10" t="s">
        <v>44</v>
      </c>
      <c r="Y140" t="s">
        <v>506</v>
      </c>
      <c r="Z140" t="s">
        <v>508</v>
      </c>
      <c r="AA140" t="s">
        <v>500</v>
      </c>
      <c r="AB140" t="s">
        <v>47</v>
      </c>
      <c r="AC140">
        <v>702024271</v>
      </c>
      <c r="AD140" s="13">
        <v>46173</v>
      </c>
      <c r="AE140" s="14" t="s">
        <v>48</v>
      </c>
      <c r="AF140" s="13">
        <v>46188</v>
      </c>
      <c r="AG140">
        <v>20260558</v>
      </c>
      <c r="AH140">
        <v>0</v>
      </c>
      <c r="AI140" s="15">
        <f t="shared" si="46"/>
        <v>285600</v>
      </c>
      <c r="AJ140" t="s">
        <v>509</v>
      </c>
    </row>
    <row r="141" spans="1:36">
      <c r="A141" t="s">
        <v>494</v>
      </c>
      <c r="B141" t="s">
        <v>36</v>
      </c>
      <c r="C141" t="s">
        <v>494</v>
      </c>
      <c r="D141" t="s">
        <v>510</v>
      </c>
      <c r="E141" s="18" t="s">
        <v>38</v>
      </c>
      <c r="F141" s="18" t="s">
        <v>505</v>
      </c>
      <c r="G141" t="s">
        <v>506</v>
      </c>
      <c r="H141" t="s">
        <v>41</v>
      </c>
      <c r="I141" s="8">
        <v>24000</v>
      </c>
      <c r="J141" s="8">
        <v>10</v>
      </c>
      <c r="K141" s="8"/>
      <c r="L141" s="8">
        <f t="shared" si="40"/>
        <v>10</v>
      </c>
      <c r="M141" s="9">
        <f t="shared" si="48"/>
        <v>240000</v>
      </c>
      <c r="N141" t="s">
        <v>506</v>
      </c>
      <c r="O141" t="s">
        <v>507</v>
      </c>
      <c r="P141" t="s">
        <v>77</v>
      </c>
      <c r="Q141" t="str">
        <f t="shared" si="41"/>
        <v>NETO</v>
      </c>
      <c r="R141" t="str">
        <f t="shared" si="42"/>
        <v>IMPUESTO</v>
      </c>
      <c r="S141" t="str">
        <f t="shared" si="43"/>
        <v>TOTAL</v>
      </c>
      <c r="T141" s="10">
        <f t="shared" si="49"/>
        <v>240000</v>
      </c>
      <c r="U141" s="11">
        <f t="shared" si="47"/>
        <v>0.19</v>
      </c>
      <c r="V141" s="12">
        <f t="shared" si="50"/>
        <v>45600</v>
      </c>
      <c r="W141" s="10">
        <f t="shared" si="51"/>
        <v>285600</v>
      </c>
      <c r="X141" s="10" t="s">
        <v>44</v>
      </c>
      <c r="Y141" t="s">
        <v>506</v>
      </c>
      <c r="Z141" t="s">
        <v>508</v>
      </c>
      <c r="AA141" t="s">
        <v>500</v>
      </c>
      <c r="AB141" t="s">
        <v>47</v>
      </c>
      <c r="AC141">
        <v>702024271</v>
      </c>
      <c r="AD141" s="13">
        <v>46173</v>
      </c>
      <c r="AE141" s="14" t="s">
        <v>48</v>
      </c>
      <c r="AF141" s="13">
        <v>46188</v>
      </c>
      <c r="AG141">
        <v>20260558</v>
      </c>
      <c r="AH141">
        <v>0</v>
      </c>
      <c r="AI141" s="15">
        <f t="shared" si="46"/>
        <v>285600</v>
      </c>
      <c r="AJ141" t="s">
        <v>509</v>
      </c>
    </row>
    <row r="142" spans="1:36">
      <c r="A142" t="s">
        <v>494</v>
      </c>
      <c r="B142" t="s">
        <v>36</v>
      </c>
      <c r="C142" t="s">
        <v>494</v>
      </c>
      <c r="D142" t="s">
        <v>511</v>
      </c>
      <c r="E142" s="18" t="s">
        <v>38</v>
      </c>
      <c r="F142" s="18" t="s">
        <v>505</v>
      </c>
      <c r="G142" t="s">
        <v>506</v>
      </c>
      <c r="H142" t="s">
        <v>41</v>
      </c>
      <c r="I142" s="8">
        <v>24000</v>
      </c>
      <c r="J142" s="8">
        <v>10</v>
      </c>
      <c r="K142" s="8"/>
      <c r="L142" s="8">
        <f t="shared" si="40"/>
        <v>10</v>
      </c>
      <c r="M142" s="9">
        <f t="shared" si="48"/>
        <v>240000</v>
      </c>
      <c r="N142" t="s">
        <v>506</v>
      </c>
      <c r="O142" t="s">
        <v>507</v>
      </c>
      <c r="P142" t="s">
        <v>77</v>
      </c>
      <c r="Q142" t="str">
        <f t="shared" si="41"/>
        <v>NETO</v>
      </c>
      <c r="R142" t="str">
        <f t="shared" si="42"/>
        <v>IMPUESTO</v>
      </c>
      <c r="S142" t="str">
        <f t="shared" si="43"/>
        <v>TOTAL</v>
      </c>
      <c r="T142" s="10">
        <f t="shared" si="49"/>
        <v>240000</v>
      </c>
      <c r="U142" s="11">
        <f t="shared" si="47"/>
        <v>0.19</v>
      </c>
      <c r="V142" s="12">
        <f t="shared" si="50"/>
        <v>45600</v>
      </c>
      <c r="W142" s="10">
        <f t="shared" si="51"/>
        <v>285600</v>
      </c>
      <c r="X142" s="10" t="s">
        <v>44</v>
      </c>
      <c r="Y142" t="s">
        <v>506</v>
      </c>
      <c r="Z142" t="s">
        <v>508</v>
      </c>
      <c r="AA142" t="s">
        <v>500</v>
      </c>
      <c r="AB142" t="s">
        <v>47</v>
      </c>
      <c r="AC142">
        <v>702024271</v>
      </c>
      <c r="AD142" s="13">
        <v>46173</v>
      </c>
      <c r="AE142" s="14" t="s">
        <v>48</v>
      </c>
      <c r="AF142" s="13">
        <v>46188</v>
      </c>
      <c r="AG142">
        <v>20260558</v>
      </c>
      <c r="AH142">
        <v>0</v>
      </c>
      <c r="AI142" s="15">
        <f t="shared" si="46"/>
        <v>285600</v>
      </c>
      <c r="AJ142" t="s">
        <v>509</v>
      </c>
    </row>
    <row r="143" spans="1:36">
      <c r="A143" t="s">
        <v>494</v>
      </c>
      <c r="B143" t="s">
        <v>36</v>
      </c>
      <c r="C143" t="s">
        <v>494</v>
      </c>
      <c r="D143" t="s">
        <v>512</v>
      </c>
      <c r="E143" s="18" t="s">
        <v>38</v>
      </c>
      <c r="F143" s="18" t="s">
        <v>505</v>
      </c>
      <c r="G143" t="s">
        <v>506</v>
      </c>
      <c r="H143" t="s">
        <v>41</v>
      </c>
      <c r="I143" s="8">
        <v>24000</v>
      </c>
      <c r="J143" s="8">
        <v>10</v>
      </c>
      <c r="K143" s="8"/>
      <c r="L143" s="8">
        <f t="shared" si="40"/>
        <v>10</v>
      </c>
      <c r="M143" s="9">
        <f t="shared" si="48"/>
        <v>240000</v>
      </c>
      <c r="N143" t="s">
        <v>506</v>
      </c>
      <c r="O143" t="s">
        <v>507</v>
      </c>
      <c r="P143" t="s">
        <v>77</v>
      </c>
      <c r="Q143" t="str">
        <f t="shared" si="41"/>
        <v>NETO</v>
      </c>
      <c r="R143" t="str">
        <f t="shared" si="42"/>
        <v>IMPUESTO</v>
      </c>
      <c r="S143" t="str">
        <f t="shared" si="43"/>
        <v>TOTAL</v>
      </c>
      <c r="T143" s="10">
        <f t="shared" si="49"/>
        <v>240000</v>
      </c>
      <c r="U143" s="11">
        <f t="shared" si="47"/>
        <v>0.19</v>
      </c>
      <c r="V143" s="12">
        <f t="shared" si="50"/>
        <v>45600</v>
      </c>
      <c r="W143" s="10">
        <f t="shared" si="51"/>
        <v>285600</v>
      </c>
      <c r="X143" s="10" t="s">
        <v>44</v>
      </c>
      <c r="Y143" t="s">
        <v>506</v>
      </c>
      <c r="Z143" t="s">
        <v>508</v>
      </c>
      <c r="AA143" t="s">
        <v>500</v>
      </c>
      <c r="AB143" t="s">
        <v>47</v>
      </c>
      <c r="AC143">
        <v>702024271</v>
      </c>
      <c r="AD143" s="13">
        <v>46173</v>
      </c>
      <c r="AE143" s="14" t="s">
        <v>48</v>
      </c>
      <c r="AF143" s="13">
        <v>46188</v>
      </c>
      <c r="AG143">
        <v>20260558</v>
      </c>
      <c r="AH143">
        <v>0</v>
      </c>
      <c r="AI143" s="15">
        <f t="shared" si="46"/>
        <v>285600</v>
      </c>
      <c r="AJ143" t="s">
        <v>509</v>
      </c>
    </row>
    <row r="144" spans="1:36">
      <c r="A144" t="s">
        <v>494</v>
      </c>
      <c r="B144" t="s">
        <v>36</v>
      </c>
      <c r="C144" t="s">
        <v>494</v>
      </c>
      <c r="D144" t="s">
        <v>173</v>
      </c>
      <c r="E144" s="18" t="s">
        <v>38</v>
      </c>
      <c r="F144" s="18" t="s">
        <v>513</v>
      </c>
      <c r="G144" t="s">
        <v>514</v>
      </c>
      <c r="H144" t="s">
        <v>176</v>
      </c>
      <c r="I144" s="8">
        <v>25000</v>
      </c>
      <c r="J144" s="8">
        <v>10</v>
      </c>
      <c r="K144" s="8"/>
      <c r="L144" s="8">
        <f t="shared" si="40"/>
        <v>10</v>
      </c>
      <c r="M144" s="9">
        <f t="shared" si="48"/>
        <v>250000</v>
      </c>
      <c r="N144" t="s">
        <v>514</v>
      </c>
      <c r="O144" t="s">
        <v>515</v>
      </c>
      <c r="P144" t="s">
        <v>77</v>
      </c>
      <c r="Q144" t="str">
        <f t="shared" si="41"/>
        <v>NETO</v>
      </c>
      <c r="R144" t="str">
        <f t="shared" si="42"/>
        <v>IMPUESTO</v>
      </c>
      <c r="S144" t="str">
        <f t="shared" si="43"/>
        <v>TOTAL</v>
      </c>
      <c r="T144" s="10">
        <f t="shared" si="49"/>
        <v>250000</v>
      </c>
      <c r="U144" s="11">
        <f t="shared" si="47"/>
        <v>0.19</v>
      </c>
      <c r="V144" s="12">
        <f t="shared" si="50"/>
        <v>47500</v>
      </c>
      <c r="W144" s="10">
        <f t="shared" si="51"/>
        <v>297500</v>
      </c>
      <c r="X144" s="10" t="s">
        <v>44</v>
      </c>
      <c r="Y144" t="s">
        <v>514</v>
      </c>
      <c r="Z144" t="s">
        <v>516</v>
      </c>
      <c r="AA144" t="s">
        <v>46</v>
      </c>
      <c r="AB144" t="s">
        <v>105</v>
      </c>
      <c r="AC144">
        <v>15660112754</v>
      </c>
      <c r="AD144" s="13">
        <v>46173</v>
      </c>
      <c r="AE144" s="14" t="s">
        <v>48</v>
      </c>
      <c r="AF144" s="13">
        <v>46188</v>
      </c>
      <c r="AG144">
        <v>20260559</v>
      </c>
      <c r="AH144">
        <v>0</v>
      </c>
      <c r="AI144" s="15">
        <f t="shared" si="46"/>
        <v>297500</v>
      </c>
      <c r="AJ144" t="s">
        <v>517</v>
      </c>
    </row>
    <row r="145" spans="1:36">
      <c r="A145" t="s">
        <v>494</v>
      </c>
      <c r="B145" t="s">
        <v>36</v>
      </c>
      <c r="C145" t="s">
        <v>494</v>
      </c>
      <c r="D145" t="s">
        <v>518</v>
      </c>
      <c r="E145" s="18" t="s">
        <v>38</v>
      </c>
      <c r="F145" s="18" t="s">
        <v>513</v>
      </c>
      <c r="G145" t="s">
        <v>514</v>
      </c>
      <c r="H145" t="s">
        <v>41</v>
      </c>
      <c r="I145" s="8">
        <v>20000</v>
      </c>
      <c r="J145" s="8">
        <v>10</v>
      </c>
      <c r="K145" s="8"/>
      <c r="L145" s="8">
        <f t="shared" si="40"/>
        <v>10</v>
      </c>
      <c r="M145" s="9">
        <f t="shared" si="48"/>
        <v>200000</v>
      </c>
      <c r="N145" t="s">
        <v>514</v>
      </c>
      <c r="O145" t="s">
        <v>515</v>
      </c>
      <c r="P145" t="s">
        <v>77</v>
      </c>
      <c r="Q145" t="str">
        <f t="shared" si="41"/>
        <v>NETO</v>
      </c>
      <c r="R145" t="str">
        <f t="shared" si="42"/>
        <v>IMPUESTO</v>
      </c>
      <c r="S145" t="str">
        <f t="shared" si="43"/>
        <v>TOTAL</v>
      </c>
      <c r="T145" s="10">
        <f t="shared" si="49"/>
        <v>200000</v>
      </c>
      <c r="U145" s="11">
        <f t="shared" si="47"/>
        <v>0.19</v>
      </c>
      <c r="V145" s="12">
        <f t="shared" si="50"/>
        <v>38000</v>
      </c>
      <c r="W145" s="10">
        <f t="shared" si="51"/>
        <v>238000</v>
      </c>
      <c r="X145" s="10" t="s">
        <v>44</v>
      </c>
      <c r="Y145" t="s">
        <v>514</v>
      </c>
      <c r="Z145" t="s">
        <v>516</v>
      </c>
      <c r="AA145" t="s">
        <v>46</v>
      </c>
      <c r="AB145" t="s">
        <v>105</v>
      </c>
      <c r="AC145">
        <v>15660112754</v>
      </c>
      <c r="AD145" s="13">
        <v>46173</v>
      </c>
      <c r="AE145" s="14" t="s">
        <v>48</v>
      </c>
      <c r="AF145" s="13">
        <v>46188</v>
      </c>
      <c r="AG145">
        <v>20260559</v>
      </c>
      <c r="AH145">
        <v>0</v>
      </c>
      <c r="AI145" s="15">
        <f t="shared" si="46"/>
        <v>238000</v>
      </c>
      <c r="AJ145" t="s">
        <v>517</v>
      </c>
    </row>
    <row r="146" spans="1:36">
      <c r="A146" t="s">
        <v>494</v>
      </c>
      <c r="B146" t="s">
        <v>36</v>
      </c>
      <c r="C146" t="s">
        <v>494</v>
      </c>
      <c r="D146" t="s">
        <v>519</v>
      </c>
      <c r="E146" s="18" t="s">
        <v>38</v>
      </c>
      <c r="F146" s="18" t="s">
        <v>513</v>
      </c>
      <c r="G146" t="s">
        <v>514</v>
      </c>
      <c r="H146" t="s">
        <v>41</v>
      </c>
      <c r="I146" s="8">
        <v>24000</v>
      </c>
      <c r="J146" s="8">
        <v>10</v>
      </c>
      <c r="K146" s="8"/>
      <c r="L146" s="8">
        <f t="shared" si="40"/>
        <v>10</v>
      </c>
      <c r="M146" s="9">
        <f t="shared" si="48"/>
        <v>240000</v>
      </c>
      <c r="N146" t="s">
        <v>514</v>
      </c>
      <c r="O146" t="s">
        <v>515</v>
      </c>
      <c r="P146" t="s">
        <v>77</v>
      </c>
      <c r="Q146" t="str">
        <f t="shared" si="41"/>
        <v>NETO</v>
      </c>
      <c r="R146" t="str">
        <f t="shared" si="42"/>
        <v>IMPUESTO</v>
      </c>
      <c r="S146" t="str">
        <f t="shared" si="43"/>
        <v>TOTAL</v>
      </c>
      <c r="T146" s="10">
        <f t="shared" si="49"/>
        <v>240000</v>
      </c>
      <c r="U146" s="11">
        <f t="shared" si="47"/>
        <v>0.19</v>
      </c>
      <c r="V146" s="12">
        <f t="shared" si="50"/>
        <v>45600</v>
      </c>
      <c r="W146" s="10">
        <f t="shared" si="51"/>
        <v>285600</v>
      </c>
      <c r="X146" s="10" t="s">
        <v>44</v>
      </c>
      <c r="Y146" t="s">
        <v>514</v>
      </c>
      <c r="Z146" t="s">
        <v>516</v>
      </c>
      <c r="AA146" t="s">
        <v>46</v>
      </c>
      <c r="AB146" t="s">
        <v>105</v>
      </c>
      <c r="AC146">
        <v>15660112754</v>
      </c>
      <c r="AD146" s="13">
        <v>46173</v>
      </c>
      <c r="AE146" s="14" t="s">
        <v>48</v>
      </c>
      <c r="AF146" s="13">
        <v>46188</v>
      </c>
      <c r="AG146">
        <v>20260559</v>
      </c>
      <c r="AH146">
        <v>0</v>
      </c>
      <c r="AI146" s="15">
        <f t="shared" si="46"/>
        <v>285600</v>
      </c>
      <c r="AJ146" t="s">
        <v>517</v>
      </c>
    </row>
    <row r="147" spans="1:36">
      <c r="A147" t="s">
        <v>494</v>
      </c>
      <c r="B147" t="s">
        <v>36</v>
      </c>
      <c r="C147" t="s">
        <v>494</v>
      </c>
      <c r="D147" t="s">
        <v>520</v>
      </c>
      <c r="E147" s="18" t="s">
        <v>38</v>
      </c>
      <c r="F147" s="18" t="s">
        <v>513</v>
      </c>
      <c r="G147" t="s">
        <v>514</v>
      </c>
      <c r="H147" t="s">
        <v>41</v>
      </c>
      <c r="I147" s="8">
        <v>24000</v>
      </c>
      <c r="J147" s="8">
        <v>10</v>
      </c>
      <c r="K147" s="8"/>
      <c r="L147" s="8">
        <f>+J147-K147</f>
        <v>10</v>
      </c>
      <c r="M147" s="9">
        <f>+I147*L147</f>
        <v>240000</v>
      </c>
      <c r="N147" t="s">
        <v>514</v>
      </c>
      <c r="O147" t="s">
        <v>515</v>
      </c>
      <c r="P147" t="s">
        <v>77</v>
      </c>
      <c r="Q147" t="str">
        <f>+IF(P147="FACTURA","NETO",IF(P147="BOLETA","BRUTO","TOTAL"))</f>
        <v>NETO</v>
      </c>
      <c r="R147" t="str">
        <f>+IF(Q147="BRUTO","RETENCION","IMPUESTO")</f>
        <v>IMPUESTO</v>
      </c>
      <c r="S147" t="str">
        <f>+IF(Q147="BRUTO","LIQUIDO A PAGAR","TOTAL")</f>
        <v>TOTAL</v>
      </c>
      <c r="T147" s="10">
        <f>+M147</f>
        <v>240000</v>
      </c>
      <c r="U147" s="11">
        <f>+IF(P147="TRATO",0,IF(P147="BOLETA",13%,19%))</f>
        <v>0.19</v>
      </c>
      <c r="V147" s="12">
        <f>+T147*U147</f>
        <v>45600</v>
      </c>
      <c r="W147" s="10">
        <f>+IF(P147="BOLETA",INT(T147-V147),IF(P147="FACTURA EXENTA",INT(T147),INT(T147+V147)))</f>
        <v>285600</v>
      </c>
      <c r="X147" s="10" t="s">
        <v>44</v>
      </c>
      <c r="Y147" t="s">
        <v>514</v>
      </c>
      <c r="Z147" t="s">
        <v>516</v>
      </c>
      <c r="AA147" t="s">
        <v>46</v>
      </c>
      <c r="AB147" t="s">
        <v>105</v>
      </c>
      <c r="AC147">
        <v>15660112754</v>
      </c>
      <c r="AD147" s="13">
        <v>46173</v>
      </c>
      <c r="AE147" s="14" t="s">
        <v>48</v>
      </c>
      <c r="AF147" s="13">
        <v>46188</v>
      </c>
      <c r="AG147">
        <v>20260559</v>
      </c>
      <c r="AH147">
        <v>0</v>
      </c>
      <c r="AI147" s="15">
        <f t="shared" si="46"/>
        <v>285600</v>
      </c>
      <c r="AJ147" t="s">
        <v>517</v>
      </c>
    </row>
    <row r="148" spans="1:36">
      <c r="A148" t="s">
        <v>521</v>
      </c>
      <c r="B148" t="s">
        <v>36</v>
      </c>
      <c r="C148" t="s">
        <v>522</v>
      </c>
      <c r="D148" t="s">
        <v>173</v>
      </c>
      <c r="E148" s="18" t="s">
        <v>38</v>
      </c>
      <c r="F148" s="18" t="s">
        <v>523</v>
      </c>
      <c r="G148" t="s">
        <v>524</v>
      </c>
      <c r="H148" t="s">
        <v>176</v>
      </c>
      <c r="I148" s="8">
        <v>20000</v>
      </c>
      <c r="J148" s="8">
        <v>10</v>
      </c>
      <c r="K148" s="8"/>
      <c r="L148" s="8">
        <f t="shared" ref="L148:L171" si="52">+J148-K148</f>
        <v>10</v>
      </c>
      <c r="M148" s="9">
        <f t="shared" si="48"/>
        <v>200000</v>
      </c>
      <c r="N148" t="s">
        <v>525</v>
      </c>
      <c r="O148" t="s">
        <v>526</v>
      </c>
      <c r="P148" t="s">
        <v>77</v>
      </c>
      <c r="Q148" t="str">
        <f t="shared" si="41"/>
        <v>NETO</v>
      </c>
      <c r="R148" t="str">
        <f t="shared" si="42"/>
        <v>IMPUESTO</v>
      </c>
      <c r="S148" t="str">
        <f t="shared" si="43"/>
        <v>TOTAL</v>
      </c>
      <c r="T148" s="10">
        <f t="shared" si="49"/>
        <v>200000</v>
      </c>
      <c r="U148" s="11">
        <f t="shared" si="47"/>
        <v>0.19</v>
      </c>
      <c r="V148" s="12">
        <f t="shared" si="50"/>
        <v>38000</v>
      </c>
      <c r="W148" s="10">
        <f t="shared" si="51"/>
        <v>238000</v>
      </c>
      <c r="X148" s="10" t="s">
        <v>44</v>
      </c>
      <c r="Y148" t="s">
        <v>525</v>
      </c>
      <c r="Z148" t="s">
        <v>526</v>
      </c>
      <c r="AA148" t="s">
        <v>500</v>
      </c>
      <c r="AB148" t="s">
        <v>47</v>
      </c>
      <c r="AC148">
        <v>194725321</v>
      </c>
      <c r="AD148" s="13">
        <v>46173</v>
      </c>
      <c r="AE148" s="14" t="s">
        <v>48</v>
      </c>
      <c r="AF148" s="13">
        <v>46188</v>
      </c>
      <c r="AG148">
        <v>20260560</v>
      </c>
      <c r="AH148">
        <v>0</v>
      </c>
      <c r="AI148" s="15">
        <f t="shared" si="46"/>
        <v>238000</v>
      </c>
      <c r="AJ148" t="s">
        <v>527</v>
      </c>
    </row>
    <row r="149" spans="1:36">
      <c r="A149" t="s">
        <v>528</v>
      </c>
      <c r="B149" t="s">
        <v>36</v>
      </c>
      <c r="C149" t="s">
        <v>522</v>
      </c>
      <c r="D149" t="s">
        <v>173</v>
      </c>
      <c r="E149" s="18" t="s">
        <v>38</v>
      </c>
      <c r="F149" s="18" t="s">
        <v>523</v>
      </c>
      <c r="G149" t="s">
        <v>524</v>
      </c>
      <c r="H149" t="s">
        <v>176</v>
      </c>
      <c r="I149" s="8">
        <v>20000</v>
      </c>
      <c r="J149" s="8">
        <v>10</v>
      </c>
      <c r="K149" s="8"/>
      <c r="L149" s="8">
        <f t="shared" si="52"/>
        <v>10</v>
      </c>
      <c r="M149" s="9">
        <f t="shared" si="48"/>
        <v>200000</v>
      </c>
      <c r="N149" t="s">
        <v>525</v>
      </c>
      <c r="O149" t="s">
        <v>526</v>
      </c>
      <c r="P149" t="s">
        <v>77</v>
      </c>
      <c r="Q149" t="str">
        <f t="shared" si="41"/>
        <v>NETO</v>
      </c>
      <c r="R149" t="str">
        <f t="shared" si="42"/>
        <v>IMPUESTO</v>
      </c>
      <c r="S149" t="str">
        <f t="shared" si="43"/>
        <v>TOTAL</v>
      </c>
      <c r="T149" s="10">
        <f t="shared" si="49"/>
        <v>200000</v>
      </c>
      <c r="U149" s="11">
        <f t="shared" si="47"/>
        <v>0.19</v>
      </c>
      <c r="V149" s="12">
        <f t="shared" si="50"/>
        <v>38000</v>
      </c>
      <c r="W149" s="10">
        <f t="shared" si="51"/>
        <v>238000</v>
      </c>
      <c r="X149" s="10" t="s">
        <v>44</v>
      </c>
      <c r="Y149" t="s">
        <v>525</v>
      </c>
      <c r="Z149" t="s">
        <v>526</v>
      </c>
      <c r="AA149" t="s">
        <v>500</v>
      </c>
      <c r="AB149" t="s">
        <v>47</v>
      </c>
      <c r="AC149">
        <v>194725321</v>
      </c>
      <c r="AD149" s="13">
        <v>46173</v>
      </c>
      <c r="AE149" s="14" t="s">
        <v>48</v>
      </c>
      <c r="AF149" s="13">
        <v>46188</v>
      </c>
      <c r="AG149">
        <v>20260560</v>
      </c>
      <c r="AH149">
        <v>0</v>
      </c>
      <c r="AI149" s="15">
        <f t="shared" si="46"/>
        <v>238000</v>
      </c>
      <c r="AJ149" t="s">
        <v>527</v>
      </c>
    </row>
    <row r="150" spans="1:36">
      <c r="A150" t="s">
        <v>521</v>
      </c>
      <c r="B150" t="s">
        <v>36</v>
      </c>
      <c r="C150" t="s">
        <v>522</v>
      </c>
      <c r="D150" t="s">
        <v>283</v>
      </c>
      <c r="E150" s="18" t="s">
        <v>38</v>
      </c>
      <c r="F150" s="18" t="s">
        <v>523</v>
      </c>
      <c r="G150" t="s">
        <v>524</v>
      </c>
      <c r="H150" t="s">
        <v>171</v>
      </c>
      <c r="I150" s="8">
        <v>15000</v>
      </c>
      <c r="J150" s="8">
        <v>10</v>
      </c>
      <c r="K150" s="8"/>
      <c r="L150" s="8">
        <f t="shared" si="52"/>
        <v>10</v>
      </c>
      <c r="M150" s="9">
        <f t="shared" si="48"/>
        <v>150000</v>
      </c>
      <c r="N150" t="s">
        <v>525</v>
      </c>
      <c r="O150" t="s">
        <v>526</v>
      </c>
      <c r="P150" t="s">
        <v>77</v>
      </c>
      <c r="Q150" t="str">
        <f t="shared" si="41"/>
        <v>NETO</v>
      </c>
      <c r="R150" t="str">
        <f t="shared" si="42"/>
        <v>IMPUESTO</v>
      </c>
      <c r="S150" t="str">
        <f t="shared" si="43"/>
        <v>TOTAL</v>
      </c>
      <c r="T150" s="10">
        <f t="shared" si="49"/>
        <v>150000</v>
      </c>
      <c r="U150" s="11">
        <f t="shared" si="47"/>
        <v>0.19</v>
      </c>
      <c r="V150" s="12">
        <f t="shared" si="50"/>
        <v>28500</v>
      </c>
      <c r="W150" s="10">
        <f t="shared" si="51"/>
        <v>178500</v>
      </c>
      <c r="X150" s="10" t="s">
        <v>44</v>
      </c>
      <c r="Y150" t="s">
        <v>525</v>
      </c>
      <c r="Z150" t="s">
        <v>526</v>
      </c>
      <c r="AA150" t="s">
        <v>500</v>
      </c>
      <c r="AB150" t="s">
        <v>47</v>
      </c>
      <c r="AC150">
        <v>194725321</v>
      </c>
      <c r="AD150" s="13">
        <v>46173</v>
      </c>
      <c r="AE150" s="14" t="s">
        <v>48</v>
      </c>
      <c r="AF150" s="13">
        <v>46188</v>
      </c>
      <c r="AG150">
        <v>20260560</v>
      </c>
      <c r="AH150">
        <v>0</v>
      </c>
      <c r="AI150" s="15">
        <f t="shared" si="46"/>
        <v>178500</v>
      </c>
      <c r="AJ150" t="s">
        <v>527</v>
      </c>
    </row>
    <row r="151" spans="1:36">
      <c r="A151" t="s">
        <v>521</v>
      </c>
      <c r="B151" t="s">
        <v>36</v>
      </c>
      <c r="C151" t="s">
        <v>522</v>
      </c>
      <c r="D151" t="s">
        <v>529</v>
      </c>
      <c r="E151" s="18" t="s">
        <v>38</v>
      </c>
      <c r="F151" s="18" t="s">
        <v>523</v>
      </c>
      <c r="G151" t="s">
        <v>524</v>
      </c>
      <c r="H151" t="s">
        <v>41</v>
      </c>
      <c r="I151" s="8">
        <v>20000</v>
      </c>
      <c r="J151" s="8">
        <v>10</v>
      </c>
      <c r="K151" s="8"/>
      <c r="L151" s="8">
        <f t="shared" si="52"/>
        <v>10</v>
      </c>
      <c r="M151" s="9">
        <f t="shared" si="48"/>
        <v>200000</v>
      </c>
      <c r="N151" t="s">
        <v>525</v>
      </c>
      <c r="O151" t="s">
        <v>526</v>
      </c>
      <c r="P151" t="s">
        <v>77</v>
      </c>
      <c r="Q151" t="str">
        <f t="shared" si="41"/>
        <v>NETO</v>
      </c>
      <c r="R151" t="str">
        <f t="shared" si="42"/>
        <v>IMPUESTO</v>
      </c>
      <c r="S151" t="str">
        <f t="shared" si="43"/>
        <v>TOTAL</v>
      </c>
      <c r="T151" s="10">
        <f t="shared" si="49"/>
        <v>200000</v>
      </c>
      <c r="U151" s="11">
        <f t="shared" si="47"/>
        <v>0.19</v>
      </c>
      <c r="V151" s="12">
        <f t="shared" si="50"/>
        <v>38000</v>
      </c>
      <c r="W151" s="10">
        <f t="shared" si="51"/>
        <v>238000</v>
      </c>
      <c r="X151" s="10" t="s">
        <v>44</v>
      </c>
      <c r="Y151" t="s">
        <v>525</v>
      </c>
      <c r="Z151" t="s">
        <v>526</v>
      </c>
      <c r="AA151" t="s">
        <v>500</v>
      </c>
      <c r="AB151" t="s">
        <v>47</v>
      </c>
      <c r="AC151">
        <v>194725321</v>
      </c>
      <c r="AD151" s="13">
        <v>46173</v>
      </c>
      <c r="AE151" s="14" t="s">
        <v>48</v>
      </c>
      <c r="AF151" s="13">
        <v>46188</v>
      </c>
      <c r="AG151">
        <v>20260560</v>
      </c>
      <c r="AH151">
        <v>0</v>
      </c>
      <c r="AI151" s="15">
        <f t="shared" si="46"/>
        <v>238000</v>
      </c>
      <c r="AJ151" t="s">
        <v>527</v>
      </c>
    </row>
    <row r="152" spans="1:36">
      <c r="A152" t="s">
        <v>521</v>
      </c>
      <c r="B152" t="s">
        <v>36</v>
      </c>
      <c r="C152" t="s">
        <v>522</v>
      </c>
      <c r="D152" t="s">
        <v>530</v>
      </c>
      <c r="E152" s="18" t="s">
        <v>38</v>
      </c>
      <c r="F152" s="18" t="s">
        <v>523</v>
      </c>
      <c r="G152" t="s">
        <v>524</v>
      </c>
      <c r="H152" t="s">
        <v>41</v>
      </c>
      <c r="I152" s="8">
        <v>20000</v>
      </c>
      <c r="J152" s="8">
        <v>10</v>
      </c>
      <c r="K152" s="8"/>
      <c r="L152" s="8">
        <f t="shared" si="52"/>
        <v>10</v>
      </c>
      <c r="M152" s="9">
        <f t="shared" si="48"/>
        <v>200000</v>
      </c>
      <c r="N152" t="s">
        <v>525</v>
      </c>
      <c r="O152" t="s">
        <v>526</v>
      </c>
      <c r="P152" t="s">
        <v>77</v>
      </c>
      <c r="Q152" t="str">
        <f t="shared" si="41"/>
        <v>NETO</v>
      </c>
      <c r="R152" t="str">
        <f t="shared" si="42"/>
        <v>IMPUESTO</v>
      </c>
      <c r="S152" t="str">
        <f t="shared" si="43"/>
        <v>TOTAL</v>
      </c>
      <c r="T152" s="10">
        <f t="shared" si="49"/>
        <v>200000</v>
      </c>
      <c r="U152" s="11">
        <f t="shared" si="47"/>
        <v>0.19</v>
      </c>
      <c r="V152" s="12">
        <f t="shared" si="50"/>
        <v>38000</v>
      </c>
      <c r="W152" s="10">
        <f t="shared" si="51"/>
        <v>238000</v>
      </c>
      <c r="X152" s="10" t="s">
        <v>44</v>
      </c>
      <c r="Y152" t="s">
        <v>525</v>
      </c>
      <c r="Z152" t="s">
        <v>526</v>
      </c>
      <c r="AA152" t="s">
        <v>500</v>
      </c>
      <c r="AB152" t="s">
        <v>47</v>
      </c>
      <c r="AC152">
        <v>194725321</v>
      </c>
      <c r="AD152" s="13">
        <v>46173</v>
      </c>
      <c r="AE152" s="14" t="s">
        <v>48</v>
      </c>
      <c r="AF152" s="13">
        <v>46188</v>
      </c>
      <c r="AG152">
        <v>20260560</v>
      </c>
      <c r="AH152">
        <v>0</v>
      </c>
      <c r="AI152" s="15">
        <f t="shared" si="46"/>
        <v>238000</v>
      </c>
      <c r="AJ152" t="s">
        <v>527</v>
      </c>
    </row>
    <row r="153" spans="1:36">
      <c r="A153" t="s">
        <v>521</v>
      </c>
      <c r="B153" t="s">
        <v>36</v>
      </c>
      <c r="C153" t="s">
        <v>522</v>
      </c>
      <c r="D153" t="s">
        <v>531</v>
      </c>
      <c r="E153" s="18" t="s">
        <v>38</v>
      </c>
      <c r="F153" s="18" t="s">
        <v>523</v>
      </c>
      <c r="G153" t="s">
        <v>524</v>
      </c>
      <c r="H153" t="s">
        <v>41</v>
      </c>
      <c r="I153" s="8">
        <v>20000</v>
      </c>
      <c r="J153" s="8">
        <v>10</v>
      </c>
      <c r="K153" s="8"/>
      <c r="L153" s="8">
        <f t="shared" si="52"/>
        <v>10</v>
      </c>
      <c r="M153" s="9">
        <f t="shared" si="48"/>
        <v>200000</v>
      </c>
      <c r="N153" t="s">
        <v>525</v>
      </c>
      <c r="O153" t="s">
        <v>526</v>
      </c>
      <c r="P153" t="s">
        <v>77</v>
      </c>
      <c r="Q153" t="str">
        <f t="shared" ref="Q153:Q172" si="53">+IF(P153="FACTURA","NETO",IF(P153="BOLETA","BRUTO","TOTAL"))</f>
        <v>NETO</v>
      </c>
      <c r="R153" t="str">
        <f t="shared" ref="R153:R172" si="54">+IF(Q153="BRUTO","RETENCION","IMPUESTO")</f>
        <v>IMPUESTO</v>
      </c>
      <c r="S153" t="str">
        <f t="shared" si="43"/>
        <v>TOTAL</v>
      </c>
      <c r="T153" s="10">
        <f t="shared" si="49"/>
        <v>200000</v>
      </c>
      <c r="U153" s="11">
        <f t="shared" si="47"/>
        <v>0.19</v>
      </c>
      <c r="V153" s="12">
        <f t="shared" si="50"/>
        <v>38000</v>
      </c>
      <c r="W153" s="10">
        <f t="shared" si="51"/>
        <v>238000</v>
      </c>
      <c r="X153" s="10" t="s">
        <v>44</v>
      </c>
      <c r="Y153" t="s">
        <v>525</v>
      </c>
      <c r="Z153" t="s">
        <v>526</v>
      </c>
      <c r="AA153" t="s">
        <v>500</v>
      </c>
      <c r="AB153" t="s">
        <v>47</v>
      </c>
      <c r="AC153">
        <v>194725321</v>
      </c>
      <c r="AD153" s="13">
        <v>46173</v>
      </c>
      <c r="AE153" s="14" t="s">
        <v>48</v>
      </c>
      <c r="AF153" s="13">
        <v>46188</v>
      </c>
      <c r="AG153">
        <v>20260560</v>
      </c>
      <c r="AH153">
        <v>0</v>
      </c>
      <c r="AI153" s="15">
        <f t="shared" si="46"/>
        <v>238000</v>
      </c>
      <c r="AJ153" t="s">
        <v>527</v>
      </c>
    </row>
    <row r="154" spans="1:36">
      <c r="A154" t="s">
        <v>521</v>
      </c>
      <c r="B154" t="s">
        <v>36</v>
      </c>
      <c r="C154" t="s">
        <v>522</v>
      </c>
      <c r="D154" t="s">
        <v>532</v>
      </c>
      <c r="E154" s="18" t="s">
        <v>38</v>
      </c>
      <c r="F154" s="18" t="s">
        <v>523</v>
      </c>
      <c r="G154" t="s">
        <v>524</v>
      </c>
      <c r="H154" t="s">
        <v>41</v>
      </c>
      <c r="I154" s="8">
        <v>30000</v>
      </c>
      <c r="J154" s="8">
        <v>10</v>
      </c>
      <c r="K154" s="8"/>
      <c r="L154" s="8">
        <f t="shared" si="52"/>
        <v>10</v>
      </c>
      <c r="M154" s="9">
        <f t="shared" si="48"/>
        <v>300000</v>
      </c>
      <c r="N154" t="s">
        <v>525</v>
      </c>
      <c r="O154" t="s">
        <v>526</v>
      </c>
      <c r="P154" t="s">
        <v>77</v>
      </c>
      <c r="Q154" t="str">
        <f t="shared" si="53"/>
        <v>NETO</v>
      </c>
      <c r="R154" t="str">
        <f t="shared" si="54"/>
        <v>IMPUESTO</v>
      </c>
      <c r="S154" t="str">
        <f t="shared" si="43"/>
        <v>TOTAL</v>
      </c>
      <c r="T154" s="10">
        <f t="shared" si="49"/>
        <v>300000</v>
      </c>
      <c r="U154" s="11">
        <f t="shared" si="47"/>
        <v>0.19</v>
      </c>
      <c r="V154" s="12">
        <f t="shared" si="50"/>
        <v>57000</v>
      </c>
      <c r="W154" s="10">
        <f t="shared" si="51"/>
        <v>357000</v>
      </c>
      <c r="X154" s="10" t="s">
        <v>44</v>
      </c>
      <c r="Y154" t="s">
        <v>525</v>
      </c>
      <c r="Z154" t="s">
        <v>526</v>
      </c>
      <c r="AA154" t="s">
        <v>500</v>
      </c>
      <c r="AB154" t="s">
        <v>47</v>
      </c>
      <c r="AC154">
        <v>194725321</v>
      </c>
      <c r="AD154" s="13">
        <v>46173</v>
      </c>
      <c r="AE154" s="14" t="s">
        <v>48</v>
      </c>
      <c r="AF154" s="13">
        <v>46188</v>
      </c>
      <c r="AG154">
        <v>20260560</v>
      </c>
      <c r="AH154">
        <v>0</v>
      </c>
      <c r="AI154" s="15">
        <f t="shared" si="46"/>
        <v>357000</v>
      </c>
      <c r="AJ154" t="s">
        <v>527</v>
      </c>
    </row>
    <row r="155" spans="1:36">
      <c r="A155" t="s">
        <v>521</v>
      </c>
      <c r="B155" t="s">
        <v>36</v>
      </c>
      <c r="C155" t="s">
        <v>522</v>
      </c>
      <c r="D155" t="s">
        <v>533</v>
      </c>
      <c r="E155" s="18" t="s">
        <v>38</v>
      </c>
      <c r="F155" s="18" t="s">
        <v>523</v>
      </c>
      <c r="G155" t="s">
        <v>524</v>
      </c>
      <c r="H155" t="s">
        <v>41</v>
      </c>
      <c r="I155" s="8">
        <v>20000</v>
      </c>
      <c r="J155" s="8">
        <v>10</v>
      </c>
      <c r="K155" s="8"/>
      <c r="L155" s="8">
        <f t="shared" si="52"/>
        <v>10</v>
      </c>
      <c r="M155" s="9">
        <f t="shared" si="48"/>
        <v>200000</v>
      </c>
      <c r="N155" t="s">
        <v>525</v>
      </c>
      <c r="O155" t="s">
        <v>526</v>
      </c>
      <c r="P155" t="s">
        <v>77</v>
      </c>
      <c r="Q155" t="str">
        <f t="shared" si="53"/>
        <v>NETO</v>
      </c>
      <c r="R155" t="str">
        <f t="shared" si="54"/>
        <v>IMPUESTO</v>
      </c>
      <c r="S155" t="str">
        <f t="shared" ref="S155:S172" si="55">+IF(Q155="BRUTO","LIQUIDO A PAGAR","TOTAL")</f>
        <v>TOTAL</v>
      </c>
      <c r="T155" s="10">
        <f t="shared" si="49"/>
        <v>200000</v>
      </c>
      <c r="U155" s="11">
        <f t="shared" si="47"/>
        <v>0.19</v>
      </c>
      <c r="V155" s="12">
        <f t="shared" si="50"/>
        <v>38000</v>
      </c>
      <c r="W155" s="10">
        <f t="shared" si="51"/>
        <v>238000</v>
      </c>
      <c r="X155" s="10" t="s">
        <v>44</v>
      </c>
      <c r="Y155" t="s">
        <v>525</v>
      </c>
      <c r="Z155" t="s">
        <v>526</v>
      </c>
      <c r="AA155" t="s">
        <v>500</v>
      </c>
      <c r="AB155" t="s">
        <v>47</v>
      </c>
      <c r="AC155">
        <v>194725321</v>
      </c>
      <c r="AD155" s="13">
        <v>46173</v>
      </c>
      <c r="AE155" s="14" t="s">
        <v>48</v>
      </c>
      <c r="AF155" s="13">
        <v>46188</v>
      </c>
      <c r="AG155">
        <v>20260560</v>
      </c>
      <c r="AH155">
        <v>0</v>
      </c>
      <c r="AI155" s="15">
        <f t="shared" si="46"/>
        <v>238000</v>
      </c>
      <c r="AJ155" t="s">
        <v>527</v>
      </c>
    </row>
    <row r="156" spans="1:36">
      <c r="A156" t="s">
        <v>521</v>
      </c>
      <c r="B156" t="s">
        <v>36</v>
      </c>
      <c r="C156" t="s">
        <v>522</v>
      </c>
      <c r="D156" t="s">
        <v>534</v>
      </c>
      <c r="E156" s="18" t="s">
        <v>38</v>
      </c>
      <c r="F156" s="18" t="s">
        <v>523</v>
      </c>
      <c r="G156" t="s">
        <v>524</v>
      </c>
      <c r="H156" t="s">
        <v>41</v>
      </c>
      <c r="I156" s="8">
        <v>20000</v>
      </c>
      <c r="J156" s="8">
        <v>10</v>
      </c>
      <c r="K156" s="8"/>
      <c r="L156" s="8">
        <f t="shared" si="52"/>
        <v>10</v>
      </c>
      <c r="M156" s="9">
        <f t="shared" si="48"/>
        <v>200000</v>
      </c>
      <c r="N156" t="s">
        <v>525</v>
      </c>
      <c r="O156" t="s">
        <v>526</v>
      </c>
      <c r="P156" t="s">
        <v>77</v>
      </c>
      <c r="Q156" t="str">
        <f t="shared" si="53"/>
        <v>NETO</v>
      </c>
      <c r="R156" t="str">
        <f t="shared" si="54"/>
        <v>IMPUESTO</v>
      </c>
      <c r="S156" t="str">
        <f t="shared" si="55"/>
        <v>TOTAL</v>
      </c>
      <c r="T156" s="10">
        <f t="shared" si="49"/>
        <v>200000</v>
      </c>
      <c r="U156" s="11">
        <f t="shared" si="47"/>
        <v>0.19</v>
      </c>
      <c r="V156" s="12">
        <f t="shared" si="50"/>
        <v>38000</v>
      </c>
      <c r="W156" s="10">
        <f t="shared" si="51"/>
        <v>238000</v>
      </c>
      <c r="X156" s="10" t="s">
        <v>44</v>
      </c>
      <c r="Y156" t="s">
        <v>525</v>
      </c>
      <c r="Z156" t="s">
        <v>526</v>
      </c>
      <c r="AA156" t="s">
        <v>500</v>
      </c>
      <c r="AB156" t="s">
        <v>47</v>
      </c>
      <c r="AC156">
        <v>194725321</v>
      </c>
      <c r="AD156" s="13">
        <v>46173</v>
      </c>
      <c r="AE156" s="14" t="s">
        <v>48</v>
      </c>
      <c r="AF156" s="13">
        <v>46188</v>
      </c>
      <c r="AG156">
        <v>20260560</v>
      </c>
      <c r="AH156">
        <v>0</v>
      </c>
      <c r="AI156" s="15">
        <f t="shared" si="46"/>
        <v>238000</v>
      </c>
      <c r="AJ156" t="s">
        <v>527</v>
      </c>
    </row>
    <row r="157" spans="1:36">
      <c r="A157" t="s">
        <v>521</v>
      </c>
      <c r="B157" t="s">
        <v>36</v>
      </c>
      <c r="C157" t="s">
        <v>522</v>
      </c>
      <c r="D157" t="s">
        <v>535</v>
      </c>
      <c r="E157" s="18" t="s">
        <v>38</v>
      </c>
      <c r="F157" s="18" t="s">
        <v>523</v>
      </c>
      <c r="G157" t="s">
        <v>524</v>
      </c>
      <c r="H157" t="s">
        <v>41</v>
      </c>
      <c r="I157" s="8">
        <v>15000</v>
      </c>
      <c r="J157" s="8">
        <v>10</v>
      </c>
      <c r="K157" s="8"/>
      <c r="L157" s="8">
        <f t="shared" si="52"/>
        <v>10</v>
      </c>
      <c r="M157" s="9">
        <f t="shared" si="48"/>
        <v>150000</v>
      </c>
      <c r="N157" t="s">
        <v>525</v>
      </c>
      <c r="O157" t="s">
        <v>526</v>
      </c>
      <c r="P157" t="s">
        <v>77</v>
      </c>
      <c r="Q157" t="str">
        <f t="shared" si="53"/>
        <v>NETO</v>
      </c>
      <c r="R157" t="str">
        <f t="shared" si="54"/>
        <v>IMPUESTO</v>
      </c>
      <c r="S157" t="str">
        <f t="shared" si="55"/>
        <v>TOTAL</v>
      </c>
      <c r="T157" s="10">
        <f t="shared" si="49"/>
        <v>150000</v>
      </c>
      <c r="U157" s="11">
        <f t="shared" si="47"/>
        <v>0.19</v>
      </c>
      <c r="V157" s="12">
        <f t="shared" si="50"/>
        <v>28500</v>
      </c>
      <c r="W157" s="10">
        <f t="shared" si="51"/>
        <v>178500</v>
      </c>
      <c r="X157" s="10" t="s">
        <v>44</v>
      </c>
      <c r="Y157" t="s">
        <v>525</v>
      </c>
      <c r="Z157" t="s">
        <v>526</v>
      </c>
      <c r="AA157" t="s">
        <v>500</v>
      </c>
      <c r="AB157" t="s">
        <v>47</v>
      </c>
      <c r="AC157">
        <v>194725321</v>
      </c>
      <c r="AD157" s="13">
        <v>46173</v>
      </c>
      <c r="AE157" s="14" t="s">
        <v>48</v>
      </c>
      <c r="AF157" s="13">
        <v>46188</v>
      </c>
      <c r="AG157">
        <v>20260560</v>
      </c>
      <c r="AH157">
        <v>0</v>
      </c>
      <c r="AI157" s="15">
        <f t="shared" si="46"/>
        <v>178500</v>
      </c>
      <c r="AJ157" t="s">
        <v>527</v>
      </c>
    </row>
    <row r="158" spans="1:36">
      <c r="A158" t="s">
        <v>528</v>
      </c>
      <c r="B158" t="s">
        <v>36</v>
      </c>
      <c r="C158" t="s">
        <v>522</v>
      </c>
      <c r="D158" t="s">
        <v>536</v>
      </c>
      <c r="E158" s="18" t="s">
        <v>38</v>
      </c>
      <c r="F158" s="18" t="s">
        <v>523</v>
      </c>
      <c r="G158" t="s">
        <v>524</v>
      </c>
      <c r="H158" t="s">
        <v>41</v>
      </c>
      <c r="I158" s="8">
        <v>20000</v>
      </c>
      <c r="J158" s="8">
        <v>10</v>
      </c>
      <c r="K158" s="8"/>
      <c r="L158" s="8">
        <f t="shared" si="52"/>
        <v>10</v>
      </c>
      <c r="M158" s="9">
        <f t="shared" si="48"/>
        <v>200000</v>
      </c>
      <c r="N158" t="s">
        <v>525</v>
      </c>
      <c r="O158" t="s">
        <v>526</v>
      </c>
      <c r="P158" t="s">
        <v>77</v>
      </c>
      <c r="Q158" t="str">
        <f t="shared" si="53"/>
        <v>NETO</v>
      </c>
      <c r="R158" t="str">
        <f t="shared" si="54"/>
        <v>IMPUESTO</v>
      </c>
      <c r="S158" t="str">
        <f t="shared" si="55"/>
        <v>TOTAL</v>
      </c>
      <c r="T158" s="10">
        <f t="shared" si="49"/>
        <v>200000</v>
      </c>
      <c r="U158" s="11">
        <f t="shared" si="47"/>
        <v>0.19</v>
      </c>
      <c r="V158" s="12">
        <f t="shared" si="50"/>
        <v>38000</v>
      </c>
      <c r="W158" s="10">
        <f t="shared" si="51"/>
        <v>238000</v>
      </c>
      <c r="X158" s="10" t="s">
        <v>44</v>
      </c>
      <c r="Y158" t="s">
        <v>525</v>
      </c>
      <c r="Z158" t="s">
        <v>526</v>
      </c>
      <c r="AA158" t="s">
        <v>500</v>
      </c>
      <c r="AB158" t="s">
        <v>47</v>
      </c>
      <c r="AC158">
        <v>194725321</v>
      </c>
      <c r="AD158" s="13">
        <v>46173</v>
      </c>
      <c r="AE158" s="14" t="s">
        <v>48</v>
      </c>
      <c r="AF158" s="13">
        <v>46188</v>
      </c>
      <c r="AG158">
        <v>20260560</v>
      </c>
      <c r="AH158">
        <v>0</v>
      </c>
      <c r="AI158" s="15">
        <f t="shared" si="46"/>
        <v>238000</v>
      </c>
      <c r="AJ158" t="s">
        <v>527</v>
      </c>
    </row>
    <row r="159" spans="1:36">
      <c r="A159" t="s">
        <v>528</v>
      </c>
      <c r="B159" t="s">
        <v>36</v>
      </c>
      <c r="C159" t="s">
        <v>522</v>
      </c>
      <c r="D159" t="s">
        <v>537</v>
      </c>
      <c r="E159" s="18" t="s">
        <v>38</v>
      </c>
      <c r="F159" s="18" t="s">
        <v>523</v>
      </c>
      <c r="G159" t="s">
        <v>524</v>
      </c>
      <c r="H159" t="s">
        <v>41</v>
      </c>
      <c r="I159" s="8">
        <v>20000</v>
      </c>
      <c r="J159" s="8">
        <v>10</v>
      </c>
      <c r="K159" s="8"/>
      <c r="L159" s="8">
        <f t="shared" si="52"/>
        <v>10</v>
      </c>
      <c r="M159" s="9">
        <f t="shared" si="48"/>
        <v>200000</v>
      </c>
      <c r="N159" t="s">
        <v>525</v>
      </c>
      <c r="O159" t="s">
        <v>526</v>
      </c>
      <c r="P159" t="s">
        <v>77</v>
      </c>
      <c r="Q159" t="str">
        <f t="shared" si="53"/>
        <v>NETO</v>
      </c>
      <c r="R159" t="str">
        <f t="shared" si="54"/>
        <v>IMPUESTO</v>
      </c>
      <c r="S159" t="str">
        <f t="shared" si="55"/>
        <v>TOTAL</v>
      </c>
      <c r="T159" s="10">
        <f t="shared" si="49"/>
        <v>200000</v>
      </c>
      <c r="U159" s="11">
        <f t="shared" si="47"/>
        <v>0.19</v>
      </c>
      <c r="V159" s="12">
        <f t="shared" si="50"/>
        <v>38000</v>
      </c>
      <c r="W159" s="10">
        <f t="shared" si="51"/>
        <v>238000</v>
      </c>
      <c r="X159" s="10" t="s">
        <v>44</v>
      </c>
      <c r="Y159" t="s">
        <v>525</v>
      </c>
      <c r="Z159" t="s">
        <v>526</v>
      </c>
      <c r="AA159" t="s">
        <v>500</v>
      </c>
      <c r="AB159" t="s">
        <v>47</v>
      </c>
      <c r="AC159">
        <v>194725321</v>
      </c>
      <c r="AD159" s="13">
        <v>46173</v>
      </c>
      <c r="AE159" s="14" t="s">
        <v>48</v>
      </c>
      <c r="AF159" s="13">
        <v>46188</v>
      </c>
      <c r="AG159">
        <v>20260560</v>
      </c>
      <c r="AH159">
        <v>0</v>
      </c>
      <c r="AI159" s="15">
        <f t="shared" si="46"/>
        <v>238000</v>
      </c>
      <c r="AJ159" t="s">
        <v>527</v>
      </c>
    </row>
    <row r="160" spans="1:36">
      <c r="A160" t="s">
        <v>528</v>
      </c>
      <c r="B160" t="s">
        <v>36</v>
      </c>
      <c r="C160" t="s">
        <v>522</v>
      </c>
      <c r="D160" t="s">
        <v>538</v>
      </c>
      <c r="E160" s="18" t="s">
        <v>38</v>
      </c>
      <c r="F160" s="18" t="s">
        <v>523</v>
      </c>
      <c r="G160" t="s">
        <v>524</v>
      </c>
      <c r="H160" t="s">
        <v>41</v>
      </c>
      <c r="I160" s="8">
        <v>25000</v>
      </c>
      <c r="J160" s="8">
        <v>10</v>
      </c>
      <c r="K160" s="8"/>
      <c r="L160" s="8">
        <f t="shared" si="52"/>
        <v>10</v>
      </c>
      <c r="M160" s="9">
        <f t="shared" si="48"/>
        <v>250000</v>
      </c>
      <c r="N160" t="s">
        <v>525</v>
      </c>
      <c r="O160" t="s">
        <v>526</v>
      </c>
      <c r="P160" t="s">
        <v>77</v>
      </c>
      <c r="Q160" t="str">
        <f t="shared" si="53"/>
        <v>NETO</v>
      </c>
      <c r="R160" t="str">
        <f t="shared" si="54"/>
        <v>IMPUESTO</v>
      </c>
      <c r="S160" t="str">
        <f t="shared" si="55"/>
        <v>TOTAL</v>
      </c>
      <c r="T160" s="10">
        <f t="shared" si="49"/>
        <v>250000</v>
      </c>
      <c r="U160" s="11">
        <f t="shared" si="47"/>
        <v>0.19</v>
      </c>
      <c r="V160" s="12">
        <f t="shared" si="50"/>
        <v>47500</v>
      </c>
      <c r="W160" s="10">
        <f t="shared" si="51"/>
        <v>297500</v>
      </c>
      <c r="X160" s="10" t="s">
        <v>44</v>
      </c>
      <c r="Y160" t="s">
        <v>525</v>
      </c>
      <c r="Z160" t="s">
        <v>526</v>
      </c>
      <c r="AA160" t="s">
        <v>500</v>
      </c>
      <c r="AB160" t="s">
        <v>47</v>
      </c>
      <c r="AC160">
        <v>194725321</v>
      </c>
      <c r="AD160" s="13">
        <v>46173</v>
      </c>
      <c r="AE160" s="14" t="s">
        <v>48</v>
      </c>
      <c r="AF160" s="13">
        <v>46188</v>
      </c>
      <c r="AG160">
        <v>20260560</v>
      </c>
      <c r="AH160">
        <v>0</v>
      </c>
      <c r="AI160" s="15">
        <f t="shared" si="46"/>
        <v>297500</v>
      </c>
      <c r="AJ160" t="s">
        <v>527</v>
      </c>
    </row>
    <row r="161" spans="1:36">
      <c r="A161" t="s">
        <v>480</v>
      </c>
      <c r="B161" t="s">
        <v>36</v>
      </c>
      <c r="C161" t="s">
        <v>522</v>
      </c>
      <c r="D161" t="s">
        <v>539</v>
      </c>
      <c r="E161" s="18" t="s">
        <v>38</v>
      </c>
      <c r="F161" s="18" t="s">
        <v>523</v>
      </c>
      <c r="G161" t="s">
        <v>524</v>
      </c>
      <c r="H161" t="s">
        <v>41</v>
      </c>
      <c r="I161" s="8">
        <v>50000</v>
      </c>
      <c r="J161" s="8">
        <v>10</v>
      </c>
      <c r="K161" s="8"/>
      <c r="L161" s="8">
        <f t="shared" ref="L161" si="56">+J161-K161</f>
        <v>10</v>
      </c>
      <c r="M161" s="9">
        <f t="shared" ref="M161" si="57">+I161*L161</f>
        <v>500000</v>
      </c>
      <c r="N161" t="s">
        <v>525</v>
      </c>
      <c r="O161" t="s">
        <v>526</v>
      </c>
      <c r="P161" t="s">
        <v>77</v>
      </c>
      <c r="Q161" t="str">
        <f t="shared" ref="Q161" si="58">+IF(P161="FACTURA","NETO",IF(P161="BOLETA","BRUTO","TOTAL"))</f>
        <v>NETO</v>
      </c>
      <c r="R161" t="str">
        <f t="shared" ref="R161" si="59">+IF(Q161="BRUTO","RETENCION","IMPUESTO")</f>
        <v>IMPUESTO</v>
      </c>
      <c r="S161" t="str">
        <f t="shared" ref="S161" si="60">+IF(Q161="BRUTO","LIQUIDO A PAGAR","TOTAL")</f>
        <v>TOTAL</v>
      </c>
      <c r="T161" s="10">
        <f t="shared" ref="T161" si="61">+M161</f>
        <v>500000</v>
      </c>
      <c r="U161" s="11">
        <f t="shared" ref="U161" si="62">+IF(P161="TRATO",0,IF(P161="BOLETA",13%,19%))</f>
        <v>0.19</v>
      </c>
      <c r="V161" s="12">
        <f t="shared" ref="V161" si="63">+T161*U161</f>
        <v>95000</v>
      </c>
      <c r="W161" s="10">
        <f t="shared" ref="W161" si="64">+IF(P161="BOLETA",INT(T161-V161),IF(P161="FACTURA EXENTA",INT(T161),INT(T161+V161)))</f>
        <v>595000</v>
      </c>
      <c r="X161" s="10" t="s">
        <v>44</v>
      </c>
      <c r="Y161" t="s">
        <v>525</v>
      </c>
      <c r="Z161" t="s">
        <v>526</v>
      </c>
      <c r="AA161" t="s">
        <v>500</v>
      </c>
      <c r="AB161" t="s">
        <v>47</v>
      </c>
      <c r="AC161">
        <v>194725321</v>
      </c>
      <c r="AD161" s="13">
        <v>46173</v>
      </c>
      <c r="AE161" s="14" t="s">
        <v>48</v>
      </c>
      <c r="AF161" s="13">
        <v>46188</v>
      </c>
      <c r="AG161">
        <v>20260560</v>
      </c>
      <c r="AH161">
        <v>0</v>
      </c>
      <c r="AI161" s="15">
        <f t="shared" ref="AI161" si="65">+W161-AH161</f>
        <v>595000</v>
      </c>
      <c r="AJ161" t="s">
        <v>527</v>
      </c>
    </row>
    <row r="162" spans="1:36">
      <c r="A162" t="s">
        <v>480</v>
      </c>
      <c r="B162" t="s">
        <v>36</v>
      </c>
      <c r="C162" t="s">
        <v>522</v>
      </c>
      <c r="D162" t="s">
        <v>540</v>
      </c>
      <c r="E162" s="18" t="s">
        <v>366</v>
      </c>
      <c r="F162" s="18" t="s">
        <v>523</v>
      </c>
      <c r="G162" t="s">
        <v>524</v>
      </c>
      <c r="H162" t="s">
        <v>41</v>
      </c>
      <c r="I162" s="8">
        <v>30000</v>
      </c>
      <c r="J162" s="8">
        <v>5</v>
      </c>
      <c r="K162" s="8"/>
      <c r="L162" s="8">
        <f t="shared" si="52"/>
        <v>5</v>
      </c>
      <c r="M162" s="9">
        <f t="shared" si="48"/>
        <v>150000</v>
      </c>
      <c r="N162" t="s">
        <v>525</v>
      </c>
      <c r="O162" t="s">
        <v>526</v>
      </c>
      <c r="P162" t="s">
        <v>77</v>
      </c>
      <c r="Q162" t="str">
        <f t="shared" si="53"/>
        <v>NETO</v>
      </c>
      <c r="R162" t="str">
        <f t="shared" si="54"/>
        <v>IMPUESTO</v>
      </c>
      <c r="S162" t="str">
        <f t="shared" si="55"/>
        <v>TOTAL</v>
      </c>
      <c r="T162" s="10">
        <f t="shared" si="49"/>
        <v>150000</v>
      </c>
      <c r="U162" s="11">
        <f t="shared" si="47"/>
        <v>0.19</v>
      </c>
      <c r="V162" s="12">
        <f t="shared" si="50"/>
        <v>28500</v>
      </c>
      <c r="W162" s="10">
        <f t="shared" si="51"/>
        <v>178500</v>
      </c>
      <c r="X162" s="10" t="s">
        <v>44</v>
      </c>
      <c r="Y162" t="s">
        <v>525</v>
      </c>
      <c r="Z162" t="s">
        <v>526</v>
      </c>
      <c r="AA162" t="s">
        <v>500</v>
      </c>
      <c r="AB162" t="s">
        <v>47</v>
      </c>
      <c r="AC162">
        <v>194725321</v>
      </c>
      <c r="AD162" s="13">
        <v>46173</v>
      </c>
      <c r="AE162" s="14" t="s">
        <v>48</v>
      </c>
      <c r="AF162" s="13">
        <v>46188</v>
      </c>
      <c r="AG162">
        <v>20260560</v>
      </c>
      <c r="AH162">
        <v>0</v>
      </c>
      <c r="AI162" s="15">
        <f t="shared" si="46"/>
        <v>178500</v>
      </c>
      <c r="AJ162" t="s">
        <v>527</v>
      </c>
    </row>
    <row r="163" spans="1:36">
      <c r="A163" t="s">
        <v>521</v>
      </c>
      <c r="B163" t="s">
        <v>36</v>
      </c>
      <c r="C163" t="s">
        <v>522</v>
      </c>
      <c r="D163" t="s">
        <v>132</v>
      </c>
      <c r="E163" s="18" t="s">
        <v>38</v>
      </c>
      <c r="F163" s="18" t="s">
        <v>523</v>
      </c>
      <c r="G163" t="s">
        <v>524</v>
      </c>
      <c r="H163" t="s">
        <v>41</v>
      </c>
      <c r="I163" s="8">
        <v>20000</v>
      </c>
      <c r="J163" s="8">
        <v>10</v>
      </c>
      <c r="K163" s="8"/>
      <c r="L163" s="8">
        <f t="shared" si="52"/>
        <v>10</v>
      </c>
      <c r="M163" s="9">
        <f t="shared" si="48"/>
        <v>200000</v>
      </c>
      <c r="N163" t="s">
        <v>525</v>
      </c>
      <c r="O163" t="s">
        <v>526</v>
      </c>
      <c r="P163" t="s">
        <v>77</v>
      </c>
      <c r="Q163" t="str">
        <f t="shared" si="53"/>
        <v>NETO</v>
      </c>
      <c r="R163" t="str">
        <f t="shared" si="54"/>
        <v>IMPUESTO</v>
      </c>
      <c r="S163" t="str">
        <f t="shared" si="55"/>
        <v>TOTAL</v>
      </c>
      <c r="T163" s="10">
        <f t="shared" si="49"/>
        <v>200000</v>
      </c>
      <c r="U163" s="11">
        <f t="shared" si="47"/>
        <v>0.19</v>
      </c>
      <c r="V163" s="12">
        <f t="shared" si="50"/>
        <v>38000</v>
      </c>
      <c r="W163" s="10">
        <f t="shared" si="51"/>
        <v>238000</v>
      </c>
      <c r="X163" s="10" t="s">
        <v>44</v>
      </c>
      <c r="Y163" t="s">
        <v>525</v>
      </c>
      <c r="Z163" t="s">
        <v>526</v>
      </c>
      <c r="AA163" t="s">
        <v>500</v>
      </c>
      <c r="AB163" t="s">
        <v>47</v>
      </c>
      <c r="AC163">
        <v>194725321</v>
      </c>
      <c r="AD163" s="13">
        <v>46173</v>
      </c>
      <c r="AE163" s="14" t="s">
        <v>48</v>
      </c>
      <c r="AF163" s="13">
        <v>46188</v>
      </c>
      <c r="AG163">
        <v>20260560</v>
      </c>
      <c r="AH163">
        <v>0</v>
      </c>
      <c r="AI163" s="15">
        <f t="shared" ref="AI163:AI172" si="66">+W163-AH163</f>
        <v>238000</v>
      </c>
      <c r="AJ163" t="s">
        <v>527</v>
      </c>
    </row>
    <row r="164" spans="1:36">
      <c r="A164" t="s">
        <v>521</v>
      </c>
      <c r="B164" t="s">
        <v>127</v>
      </c>
      <c r="C164" t="s">
        <v>522</v>
      </c>
      <c r="D164" t="s">
        <v>128</v>
      </c>
      <c r="E164" s="18" t="s">
        <v>38</v>
      </c>
      <c r="F164" s="18" t="s">
        <v>523</v>
      </c>
      <c r="G164" t="s">
        <v>524</v>
      </c>
      <c r="H164" t="s">
        <v>129</v>
      </c>
      <c r="I164" s="8">
        <v>20000</v>
      </c>
      <c r="J164" s="8">
        <v>10</v>
      </c>
      <c r="K164" s="8"/>
      <c r="L164" s="8">
        <f t="shared" si="52"/>
        <v>10</v>
      </c>
      <c r="M164" s="9">
        <f t="shared" si="48"/>
        <v>200000</v>
      </c>
      <c r="N164" t="s">
        <v>525</v>
      </c>
      <c r="O164" t="s">
        <v>526</v>
      </c>
      <c r="P164" t="s">
        <v>77</v>
      </c>
      <c r="Q164" t="str">
        <f t="shared" si="53"/>
        <v>NETO</v>
      </c>
      <c r="R164" t="str">
        <f t="shared" si="54"/>
        <v>IMPUESTO</v>
      </c>
      <c r="S164" t="str">
        <f t="shared" si="55"/>
        <v>TOTAL</v>
      </c>
      <c r="T164" s="10">
        <f t="shared" si="49"/>
        <v>200000</v>
      </c>
      <c r="U164" s="11">
        <f t="shared" si="47"/>
        <v>0.19</v>
      </c>
      <c r="V164" s="12">
        <f t="shared" si="50"/>
        <v>38000</v>
      </c>
      <c r="W164" s="10">
        <f t="shared" si="51"/>
        <v>238000</v>
      </c>
      <c r="X164" s="10" t="s">
        <v>44</v>
      </c>
      <c r="Y164" t="s">
        <v>525</v>
      </c>
      <c r="Z164" t="s">
        <v>526</v>
      </c>
      <c r="AA164" t="s">
        <v>500</v>
      </c>
      <c r="AB164" t="s">
        <v>47</v>
      </c>
      <c r="AC164">
        <v>194725321</v>
      </c>
      <c r="AD164" s="13">
        <v>46173</v>
      </c>
      <c r="AE164" s="14" t="s">
        <v>48</v>
      </c>
      <c r="AF164" s="13">
        <v>46188</v>
      </c>
      <c r="AG164">
        <v>20260560</v>
      </c>
      <c r="AH164">
        <v>0</v>
      </c>
      <c r="AI164" s="15">
        <f t="shared" si="66"/>
        <v>238000</v>
      </c>
      <c r="AJ164" t="s">
        <v>527</v>
      </c>
    </row>
    <row r="165" spans="1:36">
      <c r="A165" t="s">
        <v>541</v>
      </c>
      <c r="B165" t="s">
        <v>36</v>
      </c>
      <c r="C165" t="s">
        <v>541</v>
      </c>
      <c r="D165" t="s">
        <v>542</v>
      </c>
      <c r="E165" s="18" t="s">
        <v>38</v>
      </c>
      <c r="F165" s="18" t="s">
        <v>523</v>
      </c>
      <c r="G165" t="s">
        <v>524</v>
      </c>
      <c r="H165" t="s">
        <v>41</v>
      </c>
      <c r="I165" s="8">
        <v>30000</v>
      </c>
      <c r="J165" s="8">
        <v>10</v>
      </c>
      <c r="K165" s="8"/>
      <c r="L165" s="8">
        <f t="shared" si="52"/>
        <v>10</v>
      </c>
      <c r="M165" s="9">
        <f t="shared" si="48"/>
        <v>300000</v>
      </c>
      <c r="N165" t="s">
        <v>525</v>
      </c>
      <c r="O165" t="s">
        <v>526</v>
      </c>
      <c r="P165" t="s">
        <v>77</v>
      </c>
      <c r="Q165" t="str">
        <f t="shared" si="53"/>
        <v>NETO</v>
      </c>
      <c r="R165" t="str">
        <f t="shared" si="54"/>
        <v>IMPUESTO</v>
      </c>
      <c r="S165" t="str">
        <f t="shared" si="55"/>
        <v>TOTAL</v>
      </c>
      <c r="T165" s="10">
        <f t="shared" si="49"/>
        <v>300000</v>
      </c>
      <c r="U165" s="11">
        <f t="shared" si="47"/>
        <v>0.19</v>
      </c>
      <c r="V165" s="12">
        <f t="shared" si="50"/>
        <v>57000</v>
      </c>
      <c r="W165" s="10">
        <f t="shared" si="51"/>
        <v>357000</v>
      </c>
      <c r="X165" s="10" t="s">
        <v>44</v>
      </c>
      <c r="Y165" t="s">
        <v>525</v>
      </c>
      <c r="Z165" t="s">
        <v>526</v>
      </c>
      <c r="AA165" t="s">
        <v>500</v>
      </c>
      <c r="AB165" t="s">
        <v>47</v>
      </c>
      <c r="AC165">
        <v>194725321</v>
      </c>
      <c r="AD165" s="13">
        <v>46173</v>
      </c>
      <c r="AE165" s="14" t="s">
        <v>48</v>
      </c>
      <c r="AF165" s="13">
        <v>46188</v>
      </c>
      <c r="AG165">
        <v>20260560</v>
      </c>
      <c r="AH165">
        <v>0</v>
      </c>
      <c r="AI165" s="15">
        <f t="shared" si="66"/>
        <v>357000</v>
      </c>
      <c r="AJ165" t="s">
        <v>527</v>
      </c>
    </row>
    <row r="166" spans="1:36">
      <c r="A166" t="s">
        <v>528</v>
      </c>
      <c r="B166" t="s">
        <v>36</v>
      </c>
      <c r="C166" t="s">
        <v>522</v>
      </c>
      <c r="D166" t="s">
        <v>543</v>
      </c>
      <c r="E166" s="18" t="s">
        <v>38</v>
      </c>
      <c r="F166" s="18" t="s">
        <v>523</v>
      </c>
      <c r="G166" t="s">
        <v>524</v>
      </c>
      <c r="H166" t="s">
        <v>41</v>
      </c>
      <c r="I166" s="8">
        <v>10000</v>
      </c>
      <c r="J166" s="8">
        <v>10</v>
      </c>
      <c r="K166" s="8"/>
      <c r="L166" s="8">
        <f t="shared" si="52"/>
        <v>10</v>
      </c>
      <c r="M166" s="9">
        <f t="shared" si="48"/>
        <v>100000</v>
      </c>
      <c r="N166" t="s">
        <v>525</v>
      </c>
      <c r="O166" t="s">
        <v>526</v>
      </c>
      <c r="P166" t="s">
        <v>77</v>
      </c>
      <c r="Q166" t="str">
        <f t="shared" si="53"/>
        <v>NETO</v>
      </c>
      <c r="R166" t="str">
        <f t="shared" si="54"/>
        <v>IMPUESTO</v>
      </c>
      <c r="S166" t="str">
        <f t="shared" si="55"/>
        <v>TOTAL</v>
      </c>
      <c r="T166" s="10">
        <f t="shared" si="49"/>
        <v>100000</v>
      </c>
      <c r="U166" s="11">
        <f t="shared" si="47"/>
        <v>0.19</v>
      </c>
      <c r="V166" s="12">
        <f t="shared" si="50"/>
        <v>19000</v>
      </c>
      <c r="W166" s="10">
        <f t="shared" si="51"/>
        <v>119000</v>
      </c>
      <c r="X166" s="10" t="s">
        <v>44</v>
      </c>
      <c r="Y166" t="s">
        <v>525</v>
      </c>
      <c r="Z166" t="s">
        <v>526</v>
      </c>
      <c r="AA166" t="s">
        <v>500</v>
      </c>
      <c r="AB166" t="s">
        <v>47</v>
      </c>
      <c r="AC166">
        <v>194725321</v>
      </c>
      <c r="AD166" s="13">
        <v>46173</v>
      </c>
      <c r="AE166" s="14" t="s">
        <v>48</v>
      </c>
      <c r="AF166" s="13">
        <v>46188</v>
      </c>
      <c r="AG166">
        <v>20260560</v>
      </c>
      <c r="AH166">
        <v>0</v>
      </c>
      <c r="AI166" s="15">
        <f t="shared" si="66"/>
        <v>119000</v>
      </c>
      <c r="AJ166" t="s">
        <v>527</v>
      </c>
    </row>
    <row r="167" spans="1:36">
      <c r="A167" t="s">
        <v>521</v>
      </c>
      <c r="B167" t="s">
        <v>36</v>
      </c>
      <c r="C167" t="s">
        <v>522</v>
      </c>
      <c r="D167" t="s">
        <v>544</v>
      </c>
      <c r="E167" s="18" t="s">
        <v>38</v>
      </c>
      <c r="F167" s="18" t="s">
        <v>545</v>
      </c>
      <c r="G167" t="s">
        <v>546</v>
      </c>
      <c r="H167" t="s">
        <v>41</v>
      </c>
      <c r="I167" s="8">
        <v>20000</v>
      </c>
      <c r="J167" s="8">
        <v>10</v>
      </c>
      <c r="K167" s="8"/>
      <c r="L167" s="8">
        <f t="shared" si="52"/>
        <v>10</v>
      </c>
      <c r="M167" s="9">
        <f t="shared" si="48"/>
        <v>200000</v>
      </c>
      <c r="N167" t="s">
        <v>547</v>
      </c>
      <c r="O167" t="s">
        <v>548</v>
      </c>
      <c r="P167" t="s">
        <v>77</v>
      </c>
      <c r="Q167" t="str">
        <f t="shared" si="53"/>
        <v>NETO</v>
      </c>
      <c r="R167" t="str">
        <f t="shared" si="54"/>
        <v>IMPUESTO</v>
      </c>
      <c r="S167" t="str">
        <f t="shared" si="55"/>
        <v>TOTAL</v>
      </c>
      <c r="T167" s="10">
        <f t="shared" si="49"/>
        <v>200000</v>
      </c>
      <c r="U167" s="11">
        <f t="shared" si="47"/>
        <v>0.19</v>
      </c>
      <c r="V167" s="12">
        <f t="shared" si="50"/>
        <v>38000</v>
      </c>
      <c r="W167" s="10">
        <f t="shared" si="51"/>
        <v>238000</v>
      </c>
      <c r="X167" s="10" t="s">
        <v>44</v>
      </c>
      <c r="Y167" t="s">
        <v>546</v>
      </c>
      <c r="Z167" t="s">
        <v>549</v>
      </c>
      <c r="AA167" t="s">
        <v>46</v>
      </c>
      <c r="AB167" t="s">
        <v>105</v>
      </c>
      <c r="AC167">
        <v>19990677330</v>
      </c>
      <c r="AD167" s="13">
        <v>46173</v>
      </c>
      <c r="AE167" s="14" t="s">
        <v>48</v>
      </c>
      <c r="AF167" s="13">
        <v>46188</v>
      </c>
      <c r="AG167">
        <v>20260561</v>
      </c>
      <c r="AH167">
        <v>0</v>
      </c>
      <c r="AI167" s="15">
        <f t="shared" si="66"/>
        <v>238000</v>
      </c>
      <c r="AJ167" t="s">
        <v>550</v>
      </c>
    </row>
    <row r="168" spans="1:36">
      <c r="A168" t="s">
        <v>521</v>
      </c>
      <c r="B168" t="s">
        <v>36</v>
      </c>
      <c r="C168" t="s">
        <v>522</v>
      </c>
      <c r="D168" t="s">
        <v>551</v>
      </c>
      <c r="E168" s="18" t="s">
        <v>38</v>
      </c>
      <c r="F168" s="18" t="s">
        <v>545</v>
      </c>
      <c r="G168" t="s">
        <v>546</v>
      </c>
      <c r="H168" t="s">
        <v>41</v>
      </c>
      <c r="I168" s="8">
        <v>20000</v>
      </c>
      <c r="J168" s="8">
        <v>10</v>
      </c>
      <c r="K168" s="8"/>
      <c r="L168" s="8">
        <f t="shared" si="52"/>
        <v>10</v>
      </c>
      <c r="M168" s="9">
        <f t="shared" si="48"/>
        <v>200000</v>
      </c>
      <c r="N168" t="s">
        <v>547</v>
      </c>
      <c r="O168" t="s">
        <v>548</v>
      </c>
      <c r="P168" t="s">
        <v>77</v>
      </c>
      <c r="Q168" t="str">
        <f t="shared" si="53"/>
        <v>NETO</v>
      </c>
      <c r="R168" t="str">
        <f t="shared" si="54"/>
        <v>IMPUESTO</v>
      </c>
      <c r="S168" t="str">
        <f t="shared" si="55"/>
        <v>TOTAL</v>
      </c>
      <c r="T168" s="10">
        <f t="shared" si="49"/>
        <v>200000</v>
      </c>
      <c r="U168" s="11">
        <f t="shared" si="47"/>
        <v>0.19</v>
      </c>
      <c r="V168" s="12">
        <f t="shared" si="50"/>
        <v>38000</v>
      </c>
      <c r="W168" s="10">
        <f t="shared" si="51"/>
        <v>238000</v>
      </c>
      <c r="X168" s="10" t="s">
        <v>44</v>
      </c>
      <c r="Y168" t="s">
        <v>546</v>
      </c>
      <c r="Z168" t="s">
        <v>549</v>
      </c>
      <c r="AA168" t="s">
        <v>46</v>
      </c>
      <c r="AB168" t="s">
        <v>105</v>
      </c>
      <c r="AC168">
        <v>19990677330</v>
      </c>
      <c r="AD168" s="13">
        <v>46173</v>
      </c>
      <c r="AE168" s="14" t="s">
        <v>48</v>
      </c>
      <c r="AF168" s="13">
        <v>46188</v>
      </c>
      <c r="AG168">
        <v>20260561</v>
      </c>
      <c r="AH168">
        <v>0</v>
      </c>
      <c r="AI168" s="15">
        <f t="shared" si="66"/>
        <v>238000</v>
      </c>
      <c r="AJ168" t="s">
        <v>550</v>
      </c>
    </row>
    <row r="169" spans="1:36">
      <c r="A169" t="s">
        <v>541</v>
      </c>
      <c r="B169" t="s">
        <v>36</v>
      </c>
      <c r="C169" t="s">
        <v>541</v>
      </c>
      <c r="D169" t="s">
        <v>552</v>
      </c>
      <c r="E169" s="18" t="s">
        <v>38</v>
      </c>
      <c r="F169" s="18" t="s">
        <v>553</v>
      </c>
      <c r="G169" t="s">
        <v>554</v>
      </c>
      <c r="H169" t="s">
        <v>41</v>
      </c>
      <c r="I169" s="8">
        <v>22500</v>
      </c>
      <c r="J169" s="8">
        <v>10</v>
      </c>
      <c r="K169" s="8"/>
      <c r="L169" s="8">
        <f t="shared" si="52"/>
        <v>10</v>
      </c>
      <c r="M169" s="9">
        <f t="shared" si="48"/>
        <v>225000</v>
      </c>
      <c r="N169" t="s">
        <v>554</v>
      </c>
      <c r="O169" t="s">
        <v>555</v>
      </c>
      <c r="P169" t="s">
        <v>77</v>
      </c>
      <c r="Q169" t="str">
        <f t="shared" si="53"/>
        <v>NETO</v>
      </c>
      <c r="R169" t="str">
        <f t="shared" si="54"/>
        <v>IMPUESTO</v>
      </c>
      <c r="S169" t="str">
        <f t="shared" si="55"/>
        <v>TOTAL</v>
      </c>
      <c r="T169" s="10">
        <f t="shared" si="49"/>
        <v>225000</v>
      </c>
      <c r="U169" s="11">
        <f t="shared" si="47"/>
        <v>0.19</v>
      </c>
      <c r="V169" s="12">
        <f t="shared" si="50"/>
        <v>42750</v>
      </c>
      <c r="W169" s="10">
        <f t="shared" si="51"/>
        <v>267750</v>
      </c>
      <c r="X169" s="10" t="s">
        <v>44</v>
      </c>
      <c r="Y169" t="s">
        <v>554</v>
      </c>
      <c r="Z169" t="s">
        <v>556</v>
      </c>
      <c r="AA169" t="s">
        <v>345</v>
      </c>
      <c r="AB169" t="s">
        <v>105</v>
      </c>
      <c r="AC169">
        <v>77759743</v>
      </c>
      <c r="AD169" s="13">
        <v>46173</v>
      </c>
      <c r="AE169" s="14" t="s">
        <v>48</v>
      </c>
      <c r="AF169" s="13">
        <v>46188</v>
      </c>
      <c r="AG169">
        <v>20260562</v>
      </c>
      <c r="AH169">
        <v>0</v>
      </c>
      <c r="AI169" s="15">
        <f t="shared" si="66"/>
        <v>267750</v>
      </c>
      <c r="AJ169" t="s">
        <v>557</v>
      </c>
    </row>
    <row r="170" spans="1:36">
      <c r="A170" t="s">
        <v>541</v>
      </c>
      <c r="B170" t="s">
        <v>36</v>
      </c>
      <c r="C170" t="s">
        <v>541</v>
      </c>
      <c r="D170" t="s">
        <v>558</v>
      </c>
      <c r="E170" s="18" t="s">
        <v>38</v>
      </c>
      <c r="F170" s="18" t="s">
        <v>553</v>
      </c>
      <c r="G170" t="s">
        <v>554</v>
      </c>
      <c r="H170" t="s">
        <v>41</v>
      </c>
      <c r="I170" s="8">
        <v>22500</v>
      </c>
      <c r="J170" s="8">
        <v>10</v>
      </c>
      <c r="K170" s="8"/>
      <c r="L170" s="8">
        <f t="shared" si="52"/>
        <v>10</v>
      </c>
      <c r="M170" s="9">
        <f t="shared" si="48"/>
        <v>225000</v>
      </c>
      <c r="N170" t="s">
        <v>554</v>
      </c>
      <c r="O170" t="s">
        <v>555</v>
      </c>
      <c r="P170" t="s">
        <v>77</v>
      </c>
      <c r="Q170" t="str">
        <f t="shared" si="53"/>
        <v>NETO</v>
      </c>
      <c r="R170" t="str">
        <f t="shared" si="54"/>
        <v>IMPUESTO</v>
      </c>
      <c r="S170" t="str">
        <f t="shared" si="55"/>
        <v>TOTAL</v>
      </c>
      <c r="T170" s="10">
        <f t="shared" si="49"/>
        <v>225000</v>
      </c>
      <c r="U170" s="11">
        <f t="shared" si="47"/>
        <v>0.19</v>
      </c>
      <c r="V170" s="12">
        <f t="shared" si="50"/>
        <v>42750</v>
      </c>
      <c r="W170" s="10">
        <f t="shared" si="51"/>
        <v>267750</v>
      </c>
      <c r="X170" s="10" t="s">
        <v>44</v>
      </c>
      <c r="Y170" t="s">
        <v>554</v>
      </c>
      <c r="Z170" t="s">
        <v>556</v>
      </c>
      <c r="AA170" t="s">
        <v>345</v>
      </c>
      <c r="AB170" t="s">
        <v>105</v>
      </c>
      <c r="AC170">
        <v>77759743</v>
      </c>
      <c r="AD170" s="13">
        <v>46173</v>
      </c>
      <c r="AE170" s="14" t="s">
        <v>48</v>
      </c>
      <c r="AF170" s="13">
        <v>46188</v>
      </c>
      <c r="AG170">
        <v>20260562</v>
      </c>
      <c r="AH170">
        <v>0</v>
      </c>
      <c r="AI170" s="15">
        <f t="shared" si="66"/>
        <v>267750</v>
      </c>
      <c r="AJ170" t="s">
        <v>557</v>
      </c>
    </row>
    <row r="171" spans="1:36">
      <c r="A171" t="s">
        <v>541</v>
      </c>
      <c r="B171" t="s">
        <v>36</v>
      </c>
      <c r="C171" t="s">
        <v>541</v>
      </c>
      <c r="D171" t="s">
        <v>559</v>
      </c>
      <c r="E171" s="18" t="s">
        <v>38</v>
      </c>
      <c r="F171" s="18" t="s">
        <v>553</v>
      </c>
      <c r="G171" t="s">
        <v>554</v>
      </c>
      <c r="H171" t="s">
        <v>41</v>
      </c>
      <c r="I171" s="8">
        <v>22500</v>
      </c>
      <c r="J171" s="8">
        <v>10</v>
      </c>
      <c r="K171" s="8"/>
      <c r="L171" s="8">
        <f t="shared" si="52"/>
        <v>10</v>
      </c>
      <c r="M171" s="9">
        <f t="shared" si="48"/>
        <v>225000</v>
      </c>
      <c r="N171" t="s">
        <v>554</v>
      </c>
      <c r="O171" t="s">
        <v>555</v>
      </c>
      <c r="P171" t="s">
        <v>77</v>
      </c>
      <c r="Q171" t="str">
        <f t="shared" si="53"/>
        <v>NETO</v>
      </c>
      <c r="R171" t="str">
        <f t="shared" si="54"/>
        <v>IMPUESTO</v>
      </c>
      <c r="S171" t="str">
        <f t="shared" si="55"/>
        <v>TOTAL</v>
      </c>
      <c r="T171" s="10">
        <f t="shared" si="49"/>
        <v>225000</v>
      </c>
      <c r="U171" s="11">
        <f t="shared" si="47"/>
        <v>0.19</v>
      </c>
      <c r="V171" s="12">
        <f t="shared" si="50"/>
        <v>42750</v>
      </c>
      <c r="W171" s="10">
        <f t="shared" si="51"/>
        <v>267750</v>
      </c>
      <c r="X171" s="10" t="s">
        <v>44</v>
      </c>
      <c r="Y171" t="s">
        <v>554</v>
      </c>
      <c r="Z171" t="s">
        <v>556</v>
      </c>
      <c r="AA171" t="s">
        <v>345</v>
      </c>
      <c r="AB171" t="s">
        <v>105</v>
      </c>
      <c r="AC171">
        <v>77759743</v>
      </c>
      <c r="AD171" s="13">
        <v>46173</v>
      </c>
      <c r="AE171" s="14" t="s">
        <v>48</v>
      </c>
      <c r="AF171" s="13">
        <v>46188</v>
      </c>
      <c r="AG171">
        <v>20260562</v>
      </c>
      <c r="AH171">
        <v>0</v>
      </c>
      <c r="AI171" s="15">
        <f t="shared" si="66"/>
        <v>267750</v>
      </c>
      <c r="AJ171" t="s">
        <v>557</v>
      </c>
    </row>
    <row r="172" spans="1:36">
      <c r="A172" t="s">
        <v>560</v>
      </c>
      <c r="B172" t="s">
        <v>36</v>
      </c>
      <c r="C172" t="s">
        <v>560</v>
      </c>
      <c r="D172" t="s">
        <v>561</v>
      </c>
      <c r="E172" s="18" t="s">
        <v>562</v>
      </c>
      <c r="F172" s="18" t="s">
        <v>563</v>
      </c>
      <c r="G172" t="s">
        <v>564</v>
      </c>
      <c r="H172" t="s">
        <v>41</v>
      </c>
      <c r="I172" s="8">
        <v>283</v>
      </c>
      <c r="J172" s="8">
        <v>1</v>
      </c>
      <c r="K172" s="8"/>
      <c r="L172" s="8">
        <f>+[2]LOTA!B11</f>
        <v>19076</v>
      </c>
      <c r="M172" s="9">
        <f>+I172*J172*L172</f>
        <v>5398508</v>
      </c>
      <c r="N172" t="s">
        <v>565</v>
      </c>
      <c r="O172" t="s">
        <v>566</v>
      </c>
      <c r="P172" t="s">
        <v>77</v>
      </c>
      <c r="Q172" t="str">
        <f t="shared" si="53"/>
        <v>NETO</v>
      </c>
      <c r="R172" t="str">
        <f t="shared" si="54"/>
        <v>IMPUESTO</v>
      </c>
      <c r="S172" t="str">
        <f t="shared" si="55"/>
        <v>TOTAL</v>
      </c>
      <c r="T172" s="10">
        <f t="shared" si="49"/>
        <v>5398508</v>
      </c>
      <c r="U172" s="11">
        <f t="shared" si="47"/>
        <v>0.19</v>
      </c>
      <c r="V172" s="12">
        <f t="shared" si="50"/>
        <v>1025716.52</v>
      </c>
      <c r="W172" s="10">
        <f t="shared" si="51"/>
        <v>6424224</v>
      </c>
      <c r="X172" s="10" t="s">
        <v>44</v>
      </c>
      <c r="Y172" t="s">
        <v>565</v>
      </c>
      <c r="Z172" t="s">
        <v>566</v>
      </c>
      <c r="AA172" t="s">
        <v>46</v>
      </c>
      <c r="AB172" t="s">
        <v>105</v>
      </c>
      <c r="AC172">
        <v>11330011340</v>
      </c>
      <c r="AD172" s="13">
        <v>46173</v>
      </c>
      <c r="AE172" s="14" t="s">
        <v>48</v>
      </c>
      <c r="AF172" s="13">
        <v>46188</v>
      </c>
      <c r="AG172">
        <v>20260563</v>
      </c>
      <c r="AH172">
        <v>0</v>
      </c>
      <c r="AI172" s="15">
        <f t="shared" si="66"/>
        <v>6424224</v>
      </c>
      <c r="AJ172" t="s">
        <v>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E776-5F31-41E1-9535-F6C08BDFC9E3}">
  <dimension ref="A3:I68"/>
  <sheetViews>
    <sheetView workbookViewId="0"/>
  </sheetViews>
  <sheetFormatPr baseColWidth="10" defaultColWidth="11.42578125" defaultRowHeight="15"/>
  <cols>
    <col min="1" max="1" width="16.5703125" bestFit="1" customWidth="1"/>
    <col min="2" max="2" width="45.5703125" bestFit="1" customWidth="1"/>
    <col min="3" max="3" width="14.28515625" bestFit="1" customWidth="1"/>
    <col min="4" max="6" width="13.140625" bestFit="1" customWidth="1"/>
    <col min="7" max="7" width="13" bestFit="1" customWidth="1"/>
    <col min="8" max="8" width="61.7109375" bestFit="1" customWidth="1"/>
    <col min="9" max="9" width="17.5703125" bestFit="1" customWidth="1"/>
    <col min="10" max="15" width="10.28515625" bestFit="1" customWidth="1"/>
    <col min="16" max="16" width="11.7109375" bestFit="1" customWidth="1"/>
    <col min="17" max="21" width="10.28515625" bestFit="1" customWidth="1"/>
    <col min="22" max="23" width="11.7109375" bestFit="1" customWidth="1"/>
    <col min="24" max="26" width="10.28515625" bestFit="1" customWidth="1"/>
    <col min="27" max="28" width="11.7109375" bestFit="1" customWidth="1"/>
    <col min="29" max="31" width="10.28515625" bestFit="1" customWidth="1"/>
    <col min="32" max="32" width="11.7109375" bestFit="1" customWidth="1"/>
    <col min="33" max="35" width="10.28515625" bestFit="1" customWidth="1"/>
    <col min="36" max="36" width="11.7109375" bestFit="1" customWidth="1"/>
    <col min="37" max="40" width="10.28515625" bestFit="1" customWidth="1"/>
    <col min="41" max="41" width="11.7109375" bestFit="1" customWidth="1"/>
    <col min="42" max="44" width="10.28515625" bestFit="1" customWidth="1"/>
    <col min="45" max="46" width="11.7109375" bestFit="1" customWidth="1"/>
    <col min="47" max="47" width="10.28515625" bestFit="1" customWidth="1"/>
    <col min="48" max="48" width="11.7109375" bestFit="1" customWidth="1"/>
    <col min="49" max="51" width="10.28515625" bestFit="1" customWidth="1"/>
    <col min="52" max="52" width="11.7109375" bestFit="1" customWidth="1"/>
    <col min="53" max="55" width="10.28515625" bestFit="1" customWidth="1"/>
    <col min="56" max="59" width="11.7109375" bestFit="1" customWidth="1"/>
    <col min="60" max="60" width="13.5703125" bestFit="1" customWidth="1"/>
  </cols>
  <sheetData>
    <row r="3" spans="1:8">
      <c r="A3" s="16" t="s">
        <v>568</v>
      </c>
      <c r="D3" s="16" t="s">
        <v>15</v>
      </c>
    </row>
    <row r="4" spans="1:8">
      <c r="A4" s="16" t="s">
        <v>31</v>
      </c>
      <c r="B4" s="16" t="s">
        <v>13</v>
      </c>
      <c r="C4" s="16" t="s">
        <v>14</v>
      </c>
      <c r="D4" t="s">
        <v>43</v>
      </c>
      <c r="E4" t="s">
        <v>102</v>
      </c>
      <c r="F4" t="s">
        <v>77</v>
      </c>
      <c r="G4" t="s">
        <v>569</v>
      </c>
      <c r="H4" s="45" t="s">
        <v>5</v>
      </c>
    </row>
    <row r="5" spans="1:8">
      <c r="A5">
        <v>20260501</v>
      </c>
      <c r="B5" t="s">
        <v>40</v>
      </c>
      <c r="C5" t="s">
        <v>42</v>
      </c>
      <c r="D5" s="15">
        <v>271200</v>
      </c>
      <c r="E5" s="15"/>
      <c r="F5" s="15"/>
      <c r="G5" s="15">
        <v>271200</v>
      </c>
      <c r="H5" t="s">
        <v>39</v>
      </c>
    </row>
    <row r="6" spans="1:8">
      <c r="A6">
        <v>20260502</v>
      </c>
      <c r="B6" t="s">
        <v>53</v>
      </c>
      <c r="C6" t="s">
        <v>54</v>
      </c>
      <c r="D6" s="15">
        <v>461462</v>
      </c>
      <c r="E6" s="15"/>
      <c r="F6" s="15"/>
      <c r="G6" s="15">
        <v>461462</v>
      </c>
      <c r="H6" t="s">
        <v>52</v>
      </c>
    </row>
    <row r="7" spans="1:8">
      <c r="A7">
        <v>20260503</v>
      </c>
      <c r="B7" t="s">
        <v>65</v>
      </c>
      <c r="C7" t="s">
        <v>66</v>
      </c>
      <c r="D7" s="15">
        <v>415275</v>
      </c>
      <c r="E7" s="15"/>
      <c r="F7" s="15"/>
      <c r="G7" s="15">
        <v>415275</v>
      </c>
      <c r="H7" t="s">
        <v>63</v>
      </c>
    </row>
    <row r="8" spans="1:8">
      <c r="A8">
        <v>20260504</v>
      </c>
      <c r="B8" t="s">
        <v>75</v>
      </c>
      <c r="C8" t="s">
        <v>76</v>
      </c>
      <c r="D8" s="15"/>
      <c r="E8" s="15"/>
      <c r="F8" s="15">
        <v>1154300</v>
      </c>
      <c r="G8" s="15">
        <v>1154300</v>
      </c>
      <c r="H8" t="s">
        <v>73</v>
      </c>
    </row>
    <row r="9" spans="1:8">
      <c r="A9">
        <v>20260505</v>
      </c>
      <c r="B9" t="s">
        <v>92</v>
      </c>
      <c r="C9" t="s">
        <v>93</v>
      </c>
      <c r="D9" s="15"/>
      <c r="E9" s="15"/>
      <c r="F9" s="15">
        <v>749700</v>
      </c>
      <c r="G9" s="15">
        <v>749700</v>
      </c>
      <c r="H9" t="s">
        <v>91</v>
      </c>
    </row>
    <row r="10" spans="1:8">
      <c r="A10">
        <v>20260506</v>
      </c>
      <c r="B10" t="s">
        <v>100</v>
      </c>
      <c r="C10" t="s">
        <v>101</v>
      </c>
      <c r="D10" s="15"/>
      <c r="E10" s="15">
        <v>50000</v>
      </c>
      <c r="F10" s="15"/>
      <c r="G10" s="15">
        <v>50000</v>
      </c>
      <c r="H10" t="s">
        <v>52</v>
      </c>
    </row>
    <row r="11" spans="1:8">
      <c r="A11">
        <v>20260507</v>
      </c>
      <c r="B11" t="s">
        <v>110</v>
      </c>
      <c r="C11" t="s">
        <v>111</v>
      </c>
      <c r="D11" s="15"/>
      <c r="E11" s="15"/>
      <c r="F11" s="15">
        <v>440300</v>
      </c>
      <c r="G11" s="15">
        <v>440300</v>
      </c>
      <c r="H11" t="s">
        <v>108</v>
      </c>
    </row>
    <row r="12" spans="1:8">
      <c r="A12">
        <v>20260508</v>
      </c>
      <c r="B12" t="s">
        <v>118</v>
      </c>
      <c r="C12" t="s">
        <v>119</v>
      </c>
      <c r="D12" s="15"/>
      <c r="E12" s="15"/>
      <c r="F12" s="15">
        <v>1475600</v>
      </c>
      <c r="G12" s="15">
        <v>1475600</v>
      </c>
      <c r="H12" t="s">
        <v>117</v>
      </c>
    </row>
    <row r="13" spans="1:8">
      <c r="A13">
        <v>20260509</v>
      </c>
      <c r="B13" t="s">
        <v>134</v>
      </c>
      <c r="C13" t="s">
        <v>135</v>
      </c>
      <c r="D13" s="15"/>
      <c r="E13" s="15"/>
      <c r="F13" s="15">
        <v>339150</v>
      </c>
      <c r="G13" s="15">
        <v>339150</v>
      </c>
      <c r="H13" t="s">
        <v>52</v>
      </c>
    </row>
    <row r="14" spans="1:8">
      <c r="A14">
        <v>20260510</v>
      </c>
      <c r="B14" t="s">
        <v>144</v>
      </c>
      <c r="C14" t="s">
        <v>145</v>
      </c>
      <c r="D14" s="15">
        <v>648337</v>
      </c>
      <c r="E14" s="15"/>
      <c r="F14" s="15"/>
      <c r="G14" s="15">
        <v>648337</v>
      </c>
      <c r="H14" t="s">
        <v>143</v>
      </c>
    </row>
    <row r="15" spans="1:8">
      <c r="A15">
        <v>20260511</v>
      </c>
      <c r="B15" t="s">
        <v>152</v>
      </c>
      <c r="C15" t="s">
        <v>153</v>
      </c>
      <c r="D15" s="15"/>
      <c r="E15" s="15"/>
      <c r="F15" s="15">
        <v>541450</v>
      </c>
      <c r="G15" s="15">
        <v>541450</v>
      </c>
      <c r="H15" t="s">
        <v>151</v>
      </c>
    </row>
    <row r="16" spans="1:8">
      <c r="A16">
        <v>20260512</v>
      </c>
      <c r="B16" t="s">
        <v>158</v>
      </c>
      <c r="C16" t="s">
        <v>159</v>
      </c>
      <c r="D16" s="15"/>
      <c r="E16" s="15"/>
      <c r="F16" s="15">
        <v>571200</v>
      </c>
      <c r="G16" s="15">
        <v>571200</v>
      </c>
      <c r="H16" t="s">
        <v>157</v>
      </c>
    </row>
    <row r="17" spans="1:8">
      <c r="A17">
        <v>20260513</v>
      </c>
      <c r="B17" t="s">
        <v>165</v>
      </c>
      <c r="C17" t="s">
        <v>166</v>
      </c>
      <c r="D17" s="15"/>
      <c r="E17" s="15"/>
      <c r="F17" s="15">
        <v>1404200</v>
      </c>
      <c r="G17" s="15">
        <v>1404200</v>
      </c>
      <c r="H17" t="s">
        <v>163</v>
      </c>
    </row>
    <row r="18" spans="1:8">
      <c r="A18">
        <v>20260514</v>
      </c>
      <c r="B18" t="s">
        <v>175</v>
      </c>
      <c r="C18" t="s">
        <v>177</v>
      </c>
      <c r="D18" s="15">
        <v>678000</v>
      </c>
      <c r="E18" s="15"/>
      <c r="F18" s="15"/>
      <c r="G18" s="15">
        <v>678000</v>
      </c>
      <c r="H18" t="s">
        <v>174</v>
      </c>
    </row>
    <row r="19" spans="1:8">
      <c r="A19">
        <v>20260515</v>
      </c>
      <c r="B19" t="s">
        <v>184</v>
      </c>
      <c r="C19" t="s">
        <v>185</v>
      </c>
      <c r="D19" s="15">
        <v>461887</v>
      </c>
      <c r="E19" s="15"/>
      <c r="F19" s="15"/>
      <c r="G19" s="15">
        <v>461887</v>
      </c>
      <c r="H19" t="s">
        <v>183</v>
      </c>
    </row>
    <row r="20" spans="1:8">
      <c r="A20">
        <v>20260516</v>
      </c>
      <c r="B20" t="s">
        <v>193</v>
      </c>
      <c r="C20" t="s">
        <v>194</v>
      </c>
      <c r="D20" s="15">
        <v>169500</v>
      </c>
      <c r="E20" s="15"/>
      <c r="F20" s="15"/>
      <c r="G20" s="15">
        <v>169500</v>
      </c>
      <c r="H20" t="s">
        <v>192</v>
      </c>
    </row>
    <row r="21" spans="1:8">
      <c r="A21">
        <v>20260517</v>
      </c>
      <c r="B21" t="s">
        <v>199</v>
      </c>
      <c r="C21" t="s">
        <v>200</v>
      </c>
      <c r="D21" s="15"/>
      <c r="E21" s="15"/>
      <c r="F21" s="15">
        <v>1082900</v>
      </c>
      <c r="G21" s="15">
        <v>1082900</v>
      </c>
      <c r="H21" t="s">
        <v>198</v>
      </c>
    </row>
    <row r="22" spans="1:8">
      <c r="A22">
        <v>20260518</v>
      </c>
      <c r="B22" t="s">
        <v>207</v>
      </c>
      <c r="C22" t="s">
        <v>208</v>
      </c>
      <c r="D22" s="15">
        <v>508500</v>
      </c>
      <c r="E22" s="15"/>
      <c r="F22" s="15"/>
      <c r="G22" s="15">
        <v>508500</v>
      </c>
      <c r="H22" t="s">
        <v>206</v>
      </c>
    </row>
    <row r="23" spans="1:8">
      <c r="A23">
        <v>20260519</v>
      </c>
      <c r="B23" t="s">
        <v>215</v>
      </c>
      <c r="C23" t="s">
        <v>216</v>
      </c>
      <c r="D23" s="15"/>
      <c r="E23" s="15"/>
      <c r="F23" s="15">
        <v>202300</v>
      </c>
      <c r="G23" s="15">
        <v>202300</v>
      </c>
      <c r="H23" t="s">
        <v>214</v>
      </c>
    </row>
    <row r="24" spans="1:8">
      <c r="A24">
        <v>20260520</v>
      </c>
      <c r="B24" t="s">
        <v>220</v>
      </c>
      <c r="C24" t="s">
        <v>221</v>
      </c>
      <c r="D24" s="15">
        <v>389849</v>
      </c>
      <c r="E24" s="15"/>
      <c r="F24" s="15"/>
      <c r="G24" s="15">
        <v>389849</v>
      </c>
      <c r="H24" t="s">
        <v>52</v>
      </c>
    </row>
    <row r="25" spans="1:8">
      <c r="A25">
        <v>20260521</v>
      </c>
      <c r="B25" t="s">
        <v>225</v>
      </c>
      <c r="C25" t="s">
        <v>226</v>
      </c>
      <c r="D25" s="15">
        <v>127125</v>
      </c>
      <c r="E25" s="15"/>
      <c r="F25" s="15"/>
      <c r="G25" s="15">
        <v>127125</v>
      </c>
      <c r="H25" t="s">
        <v>52</v>
      </c>
    </row>
    <row r="26" spans="1:8">
      <c r="A26">
        <v>20260522</v>
      </c>
      <c r="B26" t="s">
        <v>231</v>
      </c>
      <c r="C26" t="s">
        <v>232</v>
      </c>
      <c r="D26" s="15">
        <v>355950</v>
      </c>
      <c r="E26" s="15"/>
      <c r="F26" s="15"/>
      <c r="G26" s="15">
        <v>355950</v>
      </c>
      <c r="H26" t="s">
        <v>230</v>
      </c>
    </row>
    <row r="27" spans="1:8">
      <c r="A27">
        <v>20260523</v>
      </c>
      <c r="B27" t="s">
        <v>236</v>
      </c>
      <c r="C27" t="s">
        <v>238</v>
      </c>
      <c r="D27" s="15"/>
      <c r="E27" s="15"/>
      <c r="F27" s="15">
        <v>2754850</v>
      </c>
      <c r="G27" s="15">
        <v>2754850</v>
      </c>
      <c r="H27" t="s">
        <v>235</v>
      </c>
    </row>
    <row r="28" spans="1:8">
      <c r="A28">
        <v>20260524</v>
      </c>
      <c r="B28" t="s">
        <v>249</v>
      </c>
      <c r="C28" t="s">
        <v>250</v>
      </c>
      <c r="D28" s="15">
        <v>656812</v>
      </c>
      <c r="E28" s="15"/>
      <c r="F28" s="15"/>
      <c r="G28" s="15">
        <v>656812</v>
      </c>
      <c r="H28" t="s">
        <v>248</v>
      </c>
    </row>
    <row r="29" spans="1:8">
      <c r="A29">
        <v>20260525</v>
      </c>
      <c r="B29" t="s">
        <v>256</v>
      </c>
      <c r="C29" t="s">
        <v>257</v>
      </c>
      <c r="D29" s="15">
        <v>461887</v>
      </c>
      <c r="E29" s="15"/>
      <c r="F29" s="15"/>
      <c r="G29" s="15">
        <v>461887</v>
      </c>
      <c r="H29" t="s">
        <v>52</v>
      </c>
    </row>
    <row r="30" spans="1:8">
      <c r="A30">
        <v>20260526</v>
      </c>
      <c r="B30" t="s">
        <v>263</v>
      </c>
      <c r="C30" t="s">
        <v>264</v>
      </c>
      <c r="D30" s="15"/>
      <c r="E30" s="15"/>
      <c r="F30" s="15">
        <v>606900</v>
      </c>
      <c r="G30" s="15">
        <v>606900</v>
      </c>
      <c r="H30" t="s">
        <v>261</v>
      </c>
    </row>
    <row r="31" spans="1:8">
      <c r="A31">
        <v>20260527</v>
      </c>
      <c r="B31" t="s">
        <v>272</v>
      </c>
      <c r="C31" t="s">
        <v>273</v>
      </c>
      <c r="D31" s="15"/>
      <c r="E31" s="15"/>
      <c r="F31" s="15">
        <v>595000</v>
      </c>
      <c r="G31" s="15">
        <v>595000</v>
      </c>
      <c r="H31" t="s">
        <v>271</v>
      </c>
    </row>
    <row r="32" spans="1:8">
      <c r="A32">
        <v>20260528</v>
      </c>
      <c r="B32" t="s">
        <v>279</v>
      </c>
      <c r="C32" t="s">
        <v>280</v>
      </c>
      <c r="D32" s="15"/>
      <c r="E32" s="15"/>
      <c r="F32" s="15">
        <v>654500</v>
      </c>
      <c r="G32" s="15">
        <v>654500</v>
      </c>
      <c r="H32" t="s">
        <v>278</v>
      </c>
    </row>
    <row r="33" spans="1:9">
      <c r="A33">
        <v>20260529</v>
      </c>
      <c r="B33" t="s">
        <v>285</v>
      </c>
      <c r="C33" t="s">
        <v>286</v>
      </c>
      <c r="D33" s="15"/>
      <c r="E33" s="15"/>
      <c r="F33" s="15">
        <v>1071000</v>
      </c>
      <c r="G33" s="15">
        <v>1071000</v>
      </c>
      <c r="H33" t="s">
        <v>284</v>
      </c>
    </row>
    <row r="34" spans="1:9">
      <c r="A34">
        <v>20260530</v>
      </c>
      <c r="B34" t="s">
        <v>293</v>
      </c>
      <c r="C34" t="s">
        <v>294</v>
      </c>
      <c r="D34" s="15"/>
      <c r="E34" s="15"/>
      <c r="F34" s="15">
        <v>642600</v>
      </c>
      <c r="G34" s="15">
        <v>642600</v>
      </c>
      <c r="H34" t="s">
        <v>292</v>
      </c>
    </row>
    <row r="35" spans="1:9">
      <c r="A35">
        <v>20260531</v>
      </c>
      <c r="B35" t="s">
        <v>301</v>
      </c>
      <c r="C35" t="s">
        <v>302</v>
      </c>
      <c r="D35" s="15">
        <v>661050</v>
      </c>
      <c r="E35" s="15"/>
      <c r="F35" s="15"/>
      <c r="G35" s="15">
        <v>661050</v>
      </c>
      <c r="H35" t="s">
        <v>300</v>
      </c>
    </row>
    <row r="36" spans="1:9">
      <c r="A36">
        <v>20260532</v>
      </c>
      <c r="B36" t="s">
        <v>309</v>
      </c>
      <c r="C36" t="s">
        <v>310</v>
      </c>
      <c r="D36" s="15">
        <v>211875</v>
      </c>
      <c r="E36" s="15"/>
      <c r="F36" s="15"/>
      <c r="G36" s="15">
        <v>211875</v>
      </c>
      <c r="H36" t="s">
        <v>52</v>
      </c>
    </row>
    <row r="37" spans="1:9">
      <c r="A37">
        <v>20260533</v>
      </c>
      <c r="B37" t="s">
        <v>314</v>
      </c>
      <c r="C37" t="s">
        <v>315</v>
      </c>
      <c r="D37" s="15">
        <v>423750</v>
      </c>
      <c r="E37" s="15"/>
      <c r="F37" s="15"/>
      <c r="G37" s="15">
        <v>423750</v>
      </c>
      <c r="H37" t="s">
        <v>284</v>
      </c>
    </row>
    <row r="38" spans="1:9">
      <c r="A38">
        <v>20260534</v>
      </c>
      <c r="B38" t="s">
        <v>321</v>
      </c>
      <c r="C38" t="s">
        <v>322</v>
      </c>
      <c r="D38" s="15"/>
      <c r="E38" s="15"/>
      <c r="F38" s="15">
        <v>1053150</v>
      </c>
      <c r="G38" s="15">
        <v>1053150</v>
      </c>
      <c r="H38" t="s">
        <v>319</v>
      </c>
    </row>
    <row r="39" spans="1:9">
      <c r="A39" s="5">
        <v>20260535</v>
      </c>
      <c r="B39" s="5" t="s">
        <v>330</v>
      </c>
      <c r="C39" s="5" t="s">
        <v>331</v>
      </c>
      <c r="D39" s="17"/>
      <c r="E39" s="17"/>
      <c r="F39" s="17">
        <v>559300</v>
      </c>
      <c r="G39" s="17">
        <v>559300</v>
      </c>
      <c r="H39" s="5" t="s">
        <v>328</v>
      </c>
      <c r="I39" s="5" t="s">
        <v>570</v>
      </c>
    </row>
    <row r="40" spans="1:9">
      <c r="A40">
        <v>20260536</v>
      </c>
      <c r="B40" t="s">
        <v>336</v>
      </c>
      <c r="C40" t="s">
        <v>337</v>
      </c>
      <c r="D40" s="15">
        <v>364425</v>
      </c>
      <c r="E40" s="15"/>
      <c r="F40" s="15"/>
      <c r="G40" s="15">
        <v>364425</v>
      </c>
      <c r="H40" t="s">
        <v>52</v>
      </c>
    </row>
    <row r="41" spans="1:9">
      <c r="A41">
        <v>20260537</v>
      </c>
      <c r="B41" t="s">
        <v>342</v>
      </c>
      <c r="C41" t="s">
        <v>343</v>
      </c>
      <c r="D41" s="15"/>
      <c r="E41" s="15"/>
      <c r="F41" s="15">
        <v>2588250</v>
      </c>
      <c r="G41" s="15">
        <v>2588250</v>
      </c>
      <c r="H41" t="s">
        <v>341</v>
      </c>
    </row>
    <row r="42" spans="1:9">
      <c r="A42">
        <v>20260538</v>
      </c>
      <c r="B42" t="s">
        <v>359</v>
      </c>
      <c r="C42" t="s">
        <v>360</v>
      </c>
      <c r="D42" s="15"/>
      <c r="E42" s="15"/>
      <c r="F42" s="15">
        <v>511700</v>
      </c>
      <c r="G42" s="15">
        <v>511700</v>
      </c>
      <c r="H42" t="s">
        <v>357</v>
      </c>
    </row>
    <row r="43" spans="1:9">
      <c r="A43">
        <v>20260539</v>
      </c>
      <c r="B43" t="s">
        <v>330</v>
      </c>
      <c r="C43" t="s">
        <v>331</v>
      </c>
      <c r="D43" s="15"/>
      <c r="E43" s="15"/>
      <c r="F43" s="15">
        <v>1084090</v>
      </c>
      <c r="G43" s="15">
        <v>1084090</v>
      </c>
      <c r="H43" t="s">
        <v>328</v>
      </c>
    </row>
    <row r="44" spans="1:9">
      <c r="A44">
        <v>20260540</v>
      </c>
      <c r="B44" t="s">
        <v>371</v>
      </c>
      <c r="C44" t="s">
        <v>372</v>
      </c>
      <c r="D44" s="15">
        <v>339000</v>
      </c>
      <c r="E44" s="15"/>
      <c r="F44" s="15"/>
      <c r="G44" s="15">
        <v>339000</v>
      </c>
      <c r="H44" t="s">
        <v>370</v>
      </c>
    </row>
    <row r="45" spans="1:9">
      <c r="A45">
        <v>20260541</v>
      </c>
      <c r="B45" t="s">
        <v>378</v>
      </c>
      <c r="C45" t="s">
        <v>379</v>
      </c>
      <c r="D45" s="15"/>
      <c r="E45" s="15"/>
      <c r="F45" s="15">
        <v>963900</v>
      </c>
      <c r="G45" s="15">
        <v>963900</v>
      </c>
      <c r="H45" t="s">
        <v>376</v>
      </c>
    </row>
    <row r="46" spans="1:9">
      <c r="A46">
        <v>20260542</v>
      </c>
      <c r="B46" t="s">
        <v>386</v>
      </c>
      <c r="C46" t="s">
        <v>387</v>
      </c>
      <c r="D46" s="15">
        <v>364425</v>
      </c>
      <c r="E46" s="15"/>
      <c r="F46" s="15"/>
      <c r="G46" s="15">
        <v>364425</v>
      </c>
      <c r="H46" t="s">
        <v>385</v>
      </c>
    </row>
    <row r="47" spans="1:9">
      <c r="A47">
        <v>20260543</v>
      </c>
      <c r="B47" t="s">
        <v>393</v>
      </c>
      <c r="C47" t="s">
        <v>394</v>
      </c>
      <c r="D47" s="15"/>
      <c r="E47" s="15"/>
      <c r="F47" s="15">
        <v>476000</v>
      </c>
      <c r="G47" s="15">
        <v>476000</v>
      </c>
      <c r="H47" t="s">
        <v>392</v>
      </c>
    </row>
    <row r="48" spans="1:9">
      <c r="A48">
        <v>20260544</v>
      </c>
      <c r="B48" t="s">
        <v>402</v>
      </c>
      <c r="C48" t="s">
        <v>403</v>
      </c>
      <c r="D48" s="15"/>
      <c r="E48" s="15"/>
      <c r="F48" s="15">
        <v>1309000</v>
      </c>
      <c r="G48" s="15">
        <v>1309000</v>
      </c>
      <c r="H48" t="s">
        <v>400</v>
      </c>
    </row>
    <row r="49" spans="1:8">
      <c r="A49">
        <v>20260545</v>
      </c>
      <c r="B49" t="s">
        <v>409</v>
      </c>
      <c r="C49" t="s">
        <v>410</v>
      </c>
      <c r="D49" s="15"/>
      <c r="E49" s="15"/>
      <c r="F49" s="15">
        <v>892500</v>
      </c>
      <c r="G49" s="15">
        <v>892500</v>
      </c>
      <c r="H49" t="s">
        <v>91</v>
      </c>
    </row>
    <row r="50" spans="1:8">
      <c r="A50">
        <v>20260546</v>
      </c>
      <c r="B50" t="s">
        <v>416</v>
      </c>
      <c r="C50" t="s">
        <v>417</v>
      </c>
      <c r="D50" s="15">
        <v>995812</v>
      </c>
      <c r="E50" s="15"/>
      <c r="F50" s="15"/>
      <c r="G50" s="15">
        <v>995812</v>
      </c>
      <c r="H50" t="s">
        <v>415</v>
      </c>
    </row>
    <row r="51" spans="1:8">
      <c r="A51">
        <v>20260547</v>
      </c>
      <c r="B51" t="s">
        <v>422</v>
      </c>
      <c r="C51" t="s">
        <v>423</v>
      </c>
      <c r="D51" s="15">
        <v>762750</v>
      </c>
      <c r="E51" s="15"/>
      <c r="F51" s="15"/>
      <c r="G51" s="15">
        <v>762750</v>
      </c>
      <c r="H51" t="s">
        <v>421</v>
      </c>
    </row>
    <row r="52" spans="1:8">
      <c r="A52">
        <v>20260548</v>
      </c>
      <c r="B52" t="s">
        <v>428</v>
      </c>
      <c r="C52" t="s">
        <v>429</v>
      </c>
      <c r="D52" s="15"/>
      <c r="E52" s="15"/>
      <c r="F52" s="15">
        <v>1309000</v>
      </c>
      <c r="G52" s="15">
        <v>1309000</v>
      </c>
      <c r="H52" t="s">
        <v>427</v>
      </c>
    </row>
    <row r="53" spans="1:8">
      <c r="A53">
        <v>20260549</v>
      </c>
      <c r="B53" t="s">
        <v>436</v>
      </c>
      <c r="C53" t="s">
        <v>437</v>
      </c>
      <c r="D53" s="15">
        <v>237300</v>
      </c>
      <c r="E53" s="15"/>
      <c r="F53" s="15"/>
      <c r="G53" s="15">
        <v>237300</v>
      </c>
      <c r="H53" t="s">
        <v>435</v>
      </c>
    </row>
    <row r="54" spans="1:8">
      <c r="A54">
        <v>20260550</v>
      </c>
      <c r="B54" t="s">
        <v>442</v>
      </c>
      <c r="C54" t="s">
        <v>443</v>
      </c>
      <c r="D54" s="15">
        <v>805125</v>
      </c>
      <c r="E54" s="15"/>
      <c r="F54" s="15"/>
      <c r="G54" s="15">
        <v>805125</v>
      </c>
      <c r="H54" t="s">
        <v>441</v>
      </c>
    </row>
    <row r="55" spans="1:8">
      <c r="A55">
        <v>20260551</v>
      </c>
      <c r="B55" t="s">
        <v>450</v>
      </c>
      <c r="C55" t="s">
        <v>451</v>
      </c>
      <c r="D55" s="15"/>
      <c r="E55" s="15"/>
      <c r="F55" s="15">
        <v>803250</v>
      </c>
      <c r="G55" s="15">
        <v>803250</v>
      </c>
      <c r="H55" t="s">
        <v>448</v>
      </c>
    </row>
    <row r="56" spans="1:8">
      <c r="A56">
        <v>20260552</v>
      </c>
      <c r="B56" t="s">
        <v>456</v>
      </c>
      <c r="C56" t="s">
        <v>457</v>
      </c>
      <c r="D56" s="15">
        <v>720375</v>
      </c>
      <c r="E56" s="15"/>
      <c r="F56" s="15"/>
      <c r="G56" s="15">
        <v>720375</v>
      </c>
      <c r="H56" t="s">
        <v>455</v>
      </c>
    </row>
    <row r="57" spans="1:8">
      <c r="A57">
        <v>20260553</v>
      </c>
      <c r="B57" t="s">
        <v>464</v>
      </c>
      <c r="C57" t="s">
        <v>465</v>
      </c>
      <c r="D57" s="15">
        <v>889875</v>
      </c>
      <c r="E57" s="15"/>
      <c r="F57" s="15"/>
      <c r="G57" s="15">
        <v>889875</v>
      </c>
      <c r="H57" t="s">
        <v>462</v>
      </c>
    </row>
    <row r="58" spans="1:8">
      <c r="A58">
        <v>20260554</v>
      </c>
      <c r="B58" t="s">
        <v>475</v>
      </c>
      <c r="C58" t="s">
        <v>476</v>
      </c>
      <c r="D58" s="15">
        <v>381374</v>
      </c>
      <c r="E58" s="15"/>
      <c r="F58" s="15"/>
      <c r="G58" s="15">
        <v>381374</v>
      </c>
      <c r="H58" t="s">
        <v>474</v>
      </c>
    </row>
    <row r="59" spans="1:8">
      <c r="A59">
        <v>20260555</v>
      </c>
      <c r="B59" t="s">
        <v>236</v>
      </c>
      <c r="C59" t="s">
        <v>238</v>
      </c>
      <c r="D59" s="15"/>
      <c r="E59" s="15"/>
      <c r="F59" s="15">
        <v>2171750</v>
      </c>
      <c r="G59" s="15">
        <v>2171750</v>
      </c>
      <c r="H59" t="s">
        <v>485</v>
      </c>
    </row>
    <row r="60" spans="1:8">
      <c r="A60">
        <v>20260556</v>
      </c>
      <c r="B60" t="s">
        <v>490</v>
      </c>
      <c r="C60" t="s">
        <v>491</v>
      </c>
      <c r="D60" s="15">
        <v>953437</v>
      </c>
      <c r="E60" s="15"/>
      <c r="F60" s="15"/>
      <c r="G60" s="15">
        <v>953437</v>
      </c>
    </row>
    <row r="61" spans="1:8">
      <c r="A61">
        <v>20260557</v>
      </c>
      <c r="B61" t="s">
        <v>497</v>
      </c>
      <c r="C61" t="s">
        <v>498</v>
      </c>
      <c r="D61" s="15"/>
      <c r="E61" s="15"/>
      <c r="F61" s="15">
        <v>606900</v>
      </c>
      <c r="G61" s="15">
        <v>606900</v>
      </c>
      <c r="H61" t="s">
        <v>496</v>
      </c>
    </row>
    <row r="62" spans="1:8">
      <c r="A62">
        <v>20260558</v>
      </c>
      <c r="B62" t="s">
        <v>506</v>
      </c>
      <c r="C62" t="s">
        <v>507</v>
      </c>
      <c r="D62" s="15"/>
      <c r="E62" s="15"/>
      <c r="F62" s="15">
        <v>1142400</v>
      </c>
      <c r="G62" s="15">
        <v>1142400</v>
      </c>
      <c r="H62" t="s">
        <v>505</v>
      </c>
    </row>
    <row r="63" spans="1:8">
      <c r="A63">
        <v>20260559</v>
      </c>
      <c r="B63" t="s">
        <v>514</v>
      </c>
      <c r="C63" t="s">
        <v>515</v>
      </c>
      <c r="D63" s="15"/>
      <c r="E63" s="15"/>
      <c r="F63" s="15">
        <v>1106700</v>
      </c>
      <c r="G63" s="15">
        <v>1106700</v>
      </c>
      <c r="H63" t="s">
        <v>513</v>
      </c>
    </row>
    <row r="64" spans="1:8">
      <c r="A64">
        <v>20260560</v>
      </c>
      <c r="B64" t="s">
        <v>525</v>
      </c>
      <c r="C64" t="s">
        <v>526</v>
      </c>
      <c r="D64" s="15"/>
      <c r="E64" s="15"/>
      <c r="F64" s="15">
        <v>4879000</v>
      </c>
      <c r="G64" s="15">
        <v>4879000</v>
      </c>
      <c r="H64" t="s">
        <v>523</v>
      </c>
    </row>
    <row r="65" spans="1:8">
      <c r="A65">
        <v>20260561</v>
      </c>
      <c r="B65" t="s">
        <v>547</v>
      </c>
      <c r="C65" t="s">
        <v>548</v>
      </c>
      <c r="D65" s="15"/>
      <c r="E65" s="15"/>
      <c r="F65" s="15">
        <v>476000</v>
      </c>
      <c r="G65" s="15">
        <v>476000</v>
      </c>
      <c r="H65" t="s">
        <v>545</v>
      </c>
    </row>
    <row r="66" spans="1:8">
      <c r="A66">
        <v>20260562</v>
      </c>
      <c r="B66" t="s">
        <v>554</v>
      </c>
      <c r="C66" t="s">
        <v>555</v>
      </c>
      <c r="D66" s="15"/>
      <c r="E66" s="15"/>
      <c r="F66" s="15">
        <v>803250</v>
      </c>
      <c r="G66" s="15">
        <v>803250</v>
      </c>
      <c r="H66" t="s">
        <v>553</v>
      </c>
    </row>
    <row r="67" spans="1:8">
      <c r="A67">
        <v>20260563</v>
      </c>
      <c r="B67" t="s">
        <v>565</v>
      </c>
      <c r="C67" t="s">
        <v>566</v>
      </c>
      <c r="D67" s="15"/>
      <c r="E67" s="15"/>
      <c r="F67" s="15">
        <v>6424224</v>
      </c>
      <c r="G67" s="15">
        <v>6424224</v>
      </c>
      <c r="H67" t="s">
        <v>563</v>
      </c>
    </row>
    <row r="68" spans="1:8">
      <c r="A68" t="s">
        <v>569</v>
      </c>
      <c r="D68" s="15">
        <v>13716357</v>
      </c>
      <c r="E68" s="15">
        <v>50000</v>
      </c>
      <c r="F68" s="15">
        <v>43446314</v>
      </c>
      <c r="G68" s="15">
        <v>57212671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504D-E3AD-44E8-B7DD-2790EC4E3438}">
  <dimension ref="A1:N26"/>
  <sheetViews>
    <sheetView workbookViewId="0">
      <selection sqref="A1:A2"/>
    </sheetView>
  </sheetViews>
  <sheetFormatPr baseColWidth="10" defaultColWidth="11.42578125" defaultRowHeight="15"/>
  <cols>
    <col min="2" max="2" width="17.5703125" bestFit="1" customWidth="1"/>
  </cols>
  <sheetData>
    <row r="1" spans="1:14">
      <c r="A1" s="46" t="s">
        <v>571</v>
      </c>
      <c r="B1" s="47" t="s">
        <v>572</v>
      </c>
      <c r="C1" s="48" t="s">
        <v>48</v>
      </c>
      <c r="D1" s="49"/>
      <c r="E1" s="49"/>
      <c r="F1" s="49"/>
      <c r="G1" s="49"/>
      <c r="H1" s="49"/>
      <c r="I1" s="49"/>
      <c r="J1" s="49"/>
      <c r="K1" s="49"/>
      <c r="L1" s="50"/>
      <c r="M1" s="51" t="s">
        <v>85</v>
      </c>
      <c r="N1" s="53" t="s">
        <v>573</v>
      </c>
    </row>
    <row r="2" spans="1:14">
      <c r="A2" s="46"/>
      <c r="B2" s="47"/>
      <c r="C2" s="22">
        <v>46144</v>
      </c>
      <c r="D2" s="22">
        <f>+C2+1</f>
        <v>46145</v>
      </c>
      <c r="E2" s="22">
        <f>+C2+7</f>
        <v>46151</v>
      </c>
      <c r="F2" s="22">
        <f t="shared" ref="F2:L2" si="0">+D2+7</f>
        <v>46152</v>
      </c>
      <c r="G2" s="22">
        <f t="shared" si="0"/>
        <v>46158</v>
      </c>
      <c r="H2" s="22">
        <f t="shared" si="0"/>
        <v>46159</v>
      </c>
      <c r="I2" s="22">
        <f t="shared" si="0"/>
        <v>46165</v>
      </c>
      <c r="J2" s="22">
        <f t="shared" si="0"/>
        <v>46166</v>
      </c>
      <c r="K2" s="22">
        <f t="shared" si="0"/>
        <v>46172</v>
      </c>
      <c r="L2" s="22">
        <f t="shared" si="0"/>
        <v>46173</v>
      </c>
      <c r="M2" s="52"/>
      <c r="N2" s="54"/>
    </row>
    <row r="3" spans="1:14">
      <c r="A3" s="20" t="s">
        <v>574</v>
      </c>
      <c r="B3" s="19" t="s">
        <v>575</v>
      </c>
      <c r="C3" s="21">
        <v>1</v>
      </c>
      <c r="D3" s="21">
        <v>1</v>
      </c>
      <c r="E3" s="21">
        <v>1</v>
      </c>
      <c r="F3" s="21">
        <v>1</v>
      </c>
      <c r="G3" s="21">
        <v>1</v>
      </c>
      <c r="H3" s="21">
        <v>1</v>
      </c>
      <c r="I3" s="21">
        <v>1</v>
      </c>
      <c r="J3" s="21">
        <v>1</v>
      </c>
      <c r="K3" s="21">
        <v>1</v>
      </c>
      <c r="L3" s="21">
        <v>1</v>
      </c>
      <c r="M3" s="21">
        <f>+SUM(C3:L3)</f>
        <v>10</v>
      </c>
      <c r="N3" s="21" t="s">
        <v>576</v>
      </c>
    </row>
    <row r="4" spans="1:14">
      <c r="A4" s="20" t="s">
        <v>574</v>
      </c>
      <c r="B4" s="19" t="s">
        <v>577</v>
      </c>
      <c r="C4" s="21">
        <v>1</v>
      </c>
      <c r="D4" s="21">
        <v>1</v>
      </c>
      <c r="E4" s="21">
        <v>1</v>
      </c>
      <c r="F4" s="21">
        <v>1</v>
      </c>
      <c r="G4" s="21">
        <v>1</v>
      </c>
      <c r="H4" s="21">
        <v>1</v>
      </c>
      <c r="I4" s="21">
        <v>1</v>
      </c>
      <c r="J4" s="21">
        <v>1</v>
      </c>
      <c r="K4" s="21">
        <v>1</v>
      </c>
      <c r="L4" s="21">
        <v>1</v>
      </c>
      <c r="M4" s="21">
        <f>+SUM(C4:L4)</f>
        <v>10</v>
      </c>
      <c r="N4" s="21" t="s">
        <v>576</v>
      </c>
    </row>
    <row r="5" spans="1:14">
      <c r="A5" s="20" t="s">
        <v>578</v>
      </c>
      <c r="B5" s="19" t="s">
        <v>579</v>
      </c>
      <c r="C5" s="21">
        <v>6</v>
      </c>
      <c r="D5" s="21">
        <v>6</v>
      </c>
      <c r="E5" s="21">
        <v>6</v>
      </c>
      <c r="F5" s="21">
        <v>6</v>
      </c>
      <c r="G5" s="21">
        <v>6</v>
      </c>
      <c r="H5" s="21">
        <v>6</v>
      </c>
      <c r="I5" s="21">
        <v>6</v>
      </c>
      <c r="J5" s="21">
        <v>6</v>
      </c>
      <c r="K5" s="21">
        <v>6</v>
      </c>
      <c r="L5" s="21">
        <v>6</v>
      </c>
      <c r="M5" s="21">
        <f>+SUM(C5:L5)</f>
        <v>60</v>
      </c>
      <c r="N5" s="21" t="s">
        <v>576</v>
      </c>
    </row>
    <row r="6" spans="1:14">
      <c r="A6" s="20" t="s">
        <v>580</v>
      </c>
      <c r="B6" s="19" t="s">
        <v>581</v>
      </c>
      <c r="C6" s="21">
        <v>3</v>
      </c>
      <c r="D6" s="21">
        <v>3</v>
      </c>
      <c r="E6" s="21">
        <v>3</v>
      </c>
      <c r="F6" s="21">
        <v>3</v>
      </c>
      <c r="G6" s="21">
        <v>3</v>
      </c>
      <c r="H6" s="21">
        <v>3</v>
      </c>
      <c r="I6" s="21">
        <v>3</v>
      </c>
      <c r="J6" s="21">
        <v>3</v>
      </c>
      <c r="K6" s="21">
        <v>3</v>
      </c>
      <c r="L6" s="21">
        <v>3</v>
      </c>
      <c r="M6" s="21">
        <f>+SUM(C6:L6)</f>
        <v>30</v>
      </c>
      <c r="N6" s="21" t="s">
        <v>576</v>
      </c>
    </row>
    <row r="7" spans="1:14">
      <c r="B7" s="19" t="s">
        <v>582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f t="shared" ref="M7" si="1">+SUM(C7:L7)</f>
        <v>0</v>
      </c>
      <c r="N7" s="21"/>
    </row>
    <row r="8" spans="1:14">
      <c r="B8" s="21" t="s">
        <v>583</v>
      </c>
      <c r="C8" s="21">
        <f t="shared" ref="C8:L8" si="2">+SUM(C3:C7)</f>
        <v>11</v>
      </c>
      <c r="D8" s="21">
        <f t="shared" si="2"/>
        <v>11</v>
      </c>
      <c r="E8" s="21">
        <f t="shared" si="2"/>
        <v>11</v>
      </c>
      <c r="F8" s="21">
        <f t="shared" si="2"/>
        <v>11</v>
      </c>
      <c r="G8" s="21">
        <f t="shared" si="2"/>
        <v>11</v>
      </c>
      <c r="H8" s="21">
        <f t="shared" si="2"/>
        <v>11</v>
      </c>
      <c r="I8" s="21">
        <f t="shared" si="2"/>
        <v>11</v>
      </c>
      <c r="J8" s="21">
        <f t="shared" si="2"/>
        <v>11</v>
      </c>
      <c r="K8" s="21">
        <f t="shared" si="2"/>
        <v>11</v>
      </c>
      <c r="L8" s="21">
        <f t="shared" si="2"/>
        <v>11</v>
      </c>
      <c r="M8" s="21"/>
      <c r="N8" s="21"/>
    </row>
    <row r="14" spans="1:14">
      <c r="B14" s="56" t="s">
        <v>571</v>
      </c>
      <c r="C14" s="56" t="s">
        <v>572</v>
      </c>
      <c r="D14" s="55" t="s">
        <v>584</v>
      </c>
      <c r="E14" s="55" t="s">
        <v>585</v>
      </c>
      <c r="F14" s="55" t="s">
        <v>585</v>
      </c>
      <c r="G14" s="55" t="s">
        <v>586</v>
      </c>
      <c r="H14" s="55" t="s">
        <v>587</v>
      </c>
    </row>
    <row r="15" spans="1:14">
      <c r="B15" s="56"/>
      <c r="C15" s="56"/>
      <c r="D15" s="55"/>
      <c r="E15" s="55"/>
      <c r="F15" s="55"/>
      <c r="G15" s="55"/>
      <c r="H15" s="55"/>
    </row>
    <row r="16" spans="1:14" ht="38.25">
      <c r="B16" s="19" t="s">
        <v>574</v>
      </c>
      <c r="C16" s="19" t="s">
        <v>575</v>
      </c>
      <c r="D16" s="23">
        <v>340</v>
      </c>
      <c r="E16" s="24" t="s">
        <v>588</v>
      </c>
      <c r="F16" s="24" t="s">
        <v>589</v>
      </c>
      <c r="G16" s="24" t="s">
        <v>590</v>
      </c>
      <c r="H16" s="24" t="s">
        <v>591</v>
      </c>
    </row>
    <row r="17" spans="2:8" ht="38.25">
      <c r="B17" s="19" t="s">
        <v>574</v>
      </c>
      <c r="C17" s="19" t="s">
        <v>577</v>
      </c>
      <c r="D17" s="23">
        <v>333</v>
      </c>
      <c r="E17" s="24" t="s">
        <v>592</v>
      </c>
      <c r="F17" s="24" t="s">
        <v>593</v>
      </c>
      <c r="G17" s="24" t="s">
        <v>594</v>
      </c>
      <c r="H17" s="24" t="s">
        <v>595</v>
      </c>
    </row>
    <row r="18" spans="2:8" ht="51">
      <c r="B18" s="19" t="s">
        <v>578</v>
      </c>
      <c r="C18" s="19" t="s">
        <v>579</v>
      </c>
      <c r="D18" s="23">
        <v>917</v>
      </c>
      <c r="E18" s="24" t="s">
        <v>596</v>
      </c>
      <c r="F18" s="24" t="s">
        <v>597</v>
      </c>
      <c r="G18" s="24" t="s">
        <v>598</v>
      </c>
      <c r="H18" s="24" t="s">
        <v>599</v>
      </c>
    </row>
    <row r="19" spans="2:8" ht="38.25">
      <c r="B19" s="19" t="s">
        <v>578</v>
      </c>
      <c r="C19" s="19" t="s">
        <v>579</v>
      </c>
      <c r="D19" s="23">
        <v>671</v>
      </c>
      <c r="E19" s="24" t="s">
        <v>600</v>
      </c>
      <c r="F19" s="24" t="s">
        <v>601</v>
      </c>
      <c r="G19" s="24" t="s">
        <v>602</v>
      </c>
      <c r="H19" s="24" t="s">
        <v>599</v>
      </c>
    </row>
    <row r="20" spans="2:8" ht="38.25">
      <c r="B20" s="19" t="s">
        <v>578</v>
      </c>
      <c r="C20" s="19" t="s">
        <v>579</v>
      </c>
      <c r="D20" s="23">
        <v>335</v>
      </c>
      <c r="E20" s="24" t="s">
        <v>603</v>
      </c>
      <c r="F20" s="24" t="s">
        <v>604</v>
      </c>
      <c r="G20" s="24" t="s">
        <v>605</v>
      </c>
      <c r="H20" s="24" t="s">
        <v>606</v>
      </c>
    </row>
    <row r="21" spans="2:8" ht="38.25">
      <c r="B21" s="19" t="s">
        <v>578</v>
      </c>
      <c r="C21" s="19" t="s">
        <v>579</v>
      </c>
      <c r="D21" s="23">
        <v>224</v>
      </c>
      <c r="E21" s="24" t="s">
        <v>607</v>
      </c>
      <c r="F21" s="24" t="s">
        <v>89</v>
      </c>
      <c r="G21" s="24" t="s">
        <v>608</v>
      </c>
      <c r="H21" s="24" t="s">
        <v>580</v>
      </c>
    </row>
    <row r="22" spans="2:8" ht="51">
      <c r="B22" s="19" t="s">
        <v>578</v>
      </c>
      <c r="C22" s="19" t="s">
        <v>579</v>
      </c>
      <c r="D22" s="23">
        <v>362</v>
      </c>
      <c r="E22" s="24" t="s">
        <v>609</v>
      </c>
      <c r="F22" s="24" t="s">
        <v>610</v>
      </c>
      <c r="G22" s="24" t="s">
        <v>611</v>
      </c>
      <c r="H22" s="24" t="s">
        <v>606</v>
      </c>
    </row>
    <row r="23" spans="2:8" ht="38.25">
      <c r="B23" s="19" t="s">
        <v>578</v>
      </c>
      <c r="C23" s="19" t="s">
        <v>579</v>
      </c>
      <c r="D23" s="23">
        <v>926</v>
      </c>
      <c r="E23" s="24" t="s">
        <v>612</v>
      </c>
      <c r="F23" s="24" t="s">
        <v>50</v>
      </c>
      <c r="G23" s="24" t="s">
        <v>613</v>
      </c>
      <c r="H23" s="24" t="s">
        <v>606</v>
      </c>
    </row>
    <row r="24" spans="2:8" ht="38.25">
      <c r="B24" s="19" t="s">
        <v>580</v>
      </c>
      <c r="C24" s="19" t="s">
        <v>581</v>
      </c>
      <c r="D24" s="23">
        <v>469</v>
      </c>
      <c r="E24" s="24" t="s">
        <v>614</v>
      </c>
      <c r="F24" s="24" t="s">
        <v>615</v>
      </c>
      <c r="G24" s="24" t="s">
        <v>616</v>
      </c>
      <c r="H24" s="24" t="s">
        <v>580</v>
      </c>
    </row>
    <row r="25" spans="2:8" ht="38.25">
      <c r="B25" s="19" t="s">
        <v>580</v>
      </c>
      <c r="C25" s="19" t="s">
        <v>581</v>
      </c>
      <c r="D25" s="23">
        <v>326</v>
      </c>
      <c r="E25" s="24" t="s">
        <v>617</v>
      </c>
      <c r="F25" s="24" t="s">
        <v>618</v>
      </c>
      <c r="G25" s="24" t="s">
        <v>619</v>
      </c>
      <c r="H25" s="24" t="s">
        <v>580</v>
      </c>
    </row>
    <row r="26" spans="2:8" ht="38.25">
      <c r="B26" s="19" t="s">
        <v>580</v>
      </c>
      <c r="C26" s="19" t="s">
        <v>581</v>
      </c>
      <c r="D26" s="23">
        <v>327</v>
      </c>
      <c r="E26" s="24" t="s">
        <v>620</v>
      </c>
      <c r="F26" s="24" t="s">
        <v>621</v>
      </c>
      <c r="G26" s="24" t="s">
        <v>622</v>
      </c>
      <c r="H26" s="24" t="s">
        <v>580</v>
      </c>
    </row>
  </sheetData>
  <mergeCells count="12">
    <mergeCell ref="G14:G15"/>
    <mergeCell ref="H14:H15"/>
    <mergeCell ref="B14:B15"/>
    <mergeCell ref="C14:C15"/>
    <mergeCell ref="D14:D15"/>
    <mergeCell ref="E14:E15"/>
    <mergeCell ref="F14:F15"/>
    <mergeCell ref="A1:A2"/>
    <mergeCell ref="B1:B2"/>
    <mergeCell ref="C1:L1"/>
    <mergeCell ref="M1:M2"/>
    <mergeCell ref="N1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023B-6EB2-4C6D-AF55-04A707219288}">
  <dimension ref="A1:B13"/>
  <sheetViews>
    <sheetView workbookViewId="0">
      <selection activeCell="B13" sqref="B13"/>
    </sheetView>
  </sheetViews>
  <sheetFormatPr baseColWidth="10" defaultColWidth="11.42578125" defaultRowHeight="15"/>
  <sheetData>
    <row r="1" spans="1:2">
      <c r="A1" s="13">
        <v>46144</v>
      </c>
      <c r="B1" s="42">
        <v>1925</v>
      </c>
    </row>
    <row r="2" spans="1:2">
      <c r="A2" s="13">
        <v>46145</v>
      </c>
      <c r="B2" s="42">
        <v>1927</v>
      </c>
    </row>
    <row r="3" spans="1:2">
      <c r="A3" s="13">
        <v>46151</v>
      </c>
      <c r="B3" s="42">
        <v>1911</v>
      </c>
    </row>
    <row r="4" spans="1:2">
      <c r="A4" s="13">
        <v>46152</v>
      </c>
      <c r="B4" s="42">
        <v>1910</v>
      </c>
    </row>
    <row r="5" spans="1:2">
      <c r="A5" s="13">
        <v>46158</v>
      </c>
      <c r="B5" s="42">
        <v>1903</v>
      </c>
    </row>
    <row r="6" spans="1:2">
      <c r="A6" s="13">
        <v>46159</v>
      </c>
      <c r="B6" s="42">
        <v>1903</v>
      </c>
    </row>
    <row r="7" spans="1:2">
      <c r="A7" s="13">
        <v>46165</v>
      </c>
      <c r="B7" s="42">
        <v>1900</v>
      </c>
    </row>
    <row r="8" spans="1:2">
      <c r="A8" s="13">
        <v>46166</v>
      </c>
      <c r="B8" s="43">
        <v>1899</v>
      </c>
    </row>
    <row r="9" spans="1:2">
      <c r="A9" s="13">
        <v>46172</v>
      </c>
      <c r="B9" s="43">
        <v>1899</v>
      </c>
    </row>
    <row r="10" spans="1:2">
      <c r="A10" s="13">
        <v>46173</v>
      </c>
      <c r="B10" s="44">
        <v>1899</v>
      </c>
    </row>
    <row r="11" spans="1:2">
      <c r="B11">
        <f>+SUM(B1:B10)</f>
        <v>19076</v>
      </c>
    </row>
    <row r="12" spans="1:2">
      <c r="B12">
        <v>283</v>
      </c>
    </row>
    <row r="13" spans="1:2">
      <c r="B13">
        <f>+B11*B12</f>
        <v>5398508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4489-939D-4E41-A165-63A3C98EB3C9}">
  <dimension ref="A1:A52"/>
  <sheetViews>
    <sheetView topLeftCell="A34" workbookViewId="0">
      <selection activeCell="A53" sqref="A53"/>
    </sheetView>
  </sheetViews>
  <sheetFormatPr baseColWidth="10" defaultColWidth="11.42578125" defaultRowHeight="15" customHeight="1"/>
  <cols>
    <col min="1" max="1" width="89.7109375" customWidth="1"/>
  </cols>
  <sheetData>
    <row r="1" spans="1:1" ht="15" customHeight="1">
      <c r="A1" s="25" t="s">
        <v>623</v>
      </c>
    </row>
    <row r="2" spans="1:1" ht="15" customHeight="1">
      <c r="A2" s="26"/>
    </row>
    <row r="3" spans="1:1" ht="15" customHeight="1">
      <c r="A3" s="27" t="s">
        <v>624</v>
      </c>
    </row>
    <row r="4" spans="1:1" ht="15" customHeight="1">
      <c r="A4" s="28" t="s">
        <v>625</v>
      </c>
    </row>
    <row r="5" spans="1:1" ht="15" customHeight="1">
      <c r="A5" s="26"/>
    </row>
    <row r="6" spans="1:1" ht="15" customHeight="1">
      <c r="A6" s="27" t="s">
        <v>626</v>
      </c>
    </row>
    <row r="7" spans="1:1" ht="15" customHeight="1">
      <c r="A7" s="28" t="s">
        <v>627</v>
      </c>
    </row>
    <row r="8" spans="1:1" ht="15" customHeight="1">
      <c r="A8" s="26"/>
    </row>
    <row r="9" spans="1:1" ht="15" customHeight="1">
      <c r="A9" s="28" t="s">
        <v>628</v>
      </c>
    </row>
    <row r="10" spans="1:1" ht="15" customHeight="1">
      <c r="A10" s="28" t="s">
        <v>629</v>
      </c>
    </row>
    <row r="11" spans="1:1" ht="15" customHeight="1">
      <c r="A11" s="26"/>
    </row>
    <row r="12" spans="1:1" ht="15" customHeight="1">
      <c r="A12" s="28" t="s">
        <v>630</v>
      </c>
    </row>
    <row r="13" spans="1:1" ht="15" customHeight="1">
      <c r="A13" s="27" t="s">
        <v>631</v>
      </c>
    </row>
    <row r="14" spans="1:1" ht="15" customHeight="1">
      <c r="A14" s="28" t="s">
        <v>632</v>
      </c>
    </row>
    <row r="15" spans="1:1" ht="15" customHeight="1">
      <c r="A15" s="27" t="s">
        <v>633</v>
      </c>
    </row>
    <row r="16" spans="1:1" ht="15" customHeight="1">
      <c r="A16" s="26"/>
    </row>
    <row r="17" spans="1:1" ht="15" customHeight="1">
      <c r="A17" s="28" t="s">
        <v>634</v>
      </c>
    </row>
    <row r="18" spans="1:1" ht="15" customHeight="1" thickBot="1">
      <c r="A18" s="29"/>
    </row>
    <row r="19" spans="1:1" ht="15" customHeight="1">
      <c r="A19" s="30" t="s">
        <v>635</v>
      </c>
    </row>
    <row r="20" spans="1:1" ht="15" customHeight="1">
      <c r="A20" s="31" t="s">
        <v>636</v>
      </c>
    </row>
    <row r="21" spans="1:1" ht="15" customHeight="1">
      <c r="A21" s="31" t="s">
        <v>637</v>
      </c>
    </row>
    <row r="22" spans="1:1" ht="15" customHeight="1">
      <c r="A22" s="32"/>
    </row>
    <row r="23" spans="1:1" ht="15" customHeight="1">
      <c r="A23" s="31" t="s">
        <v>638</v>
      </c>
    </row>
    <row r="24" spans="1:1" ht="15" customHeight="1">
      <c r="A24" s="31" t="s">
        <v>639</v>
      </c>
    </row>
    <row r="25" spans="1:1" ht="15" customHeight="1">
      <c r="A25" s="32"/>
    </row>
    <row r="26" spans="1:1" ht="15" customHeight="1" thickBot="1">
      <c r="A26" s="33"/>
    </row>
    <row r="27" spans="1:1" ht="15" customHeight="1">
      <c r="A27" s="36" t="s">
        <v>640</v>
      </c>
    </row>
    <row r="28" spans="1:1" ht="15" customHeight="1">
      <c r="A28" s="37"/>
    </row>
    <row r="29" spans="1:1" ht="15" customHeight="1">
      <c r="A29" s="38" t="s">
        <v>641</v>
      </c>
    </row>
    <row r="30" spans="1:1" ht="15" customHeight="1">
      <c r="A30" s="39" t="s">
        <v>642</v>
      </c>
    </row>
    <row r="31" spans="1:1" ht="15" customHeight="1">
      <c r="A31" s="38" t="s">
        <v>643</v>
      </c>
    </row>
    <row r="32" spans="1:1" ht="15" customHeight="1">
      <c r="A32" s="38" t="s">
        <v>644</v>
      </c>
    </row>
    <row r="33" spans="1:1" ht="15" customHeight="1">
      <c r="A33" s="37"/>
    </row>
    <row r="34" spans="1:1" ht="15" customHeight="1">
      <c r="A34" s="38" t="s">
        <v>645</v>
      </c>
    </row>
    <row r="35" spans="1:1" ht="15" customHeight="1">
      <c r="A35" s="38" t="s">
        <v>646</v>
      </c>
    </row>
    <row r="36" spans="1:1" ht="15" customHeight="1">
      <c r="A36" s="37"/>
    </row>
    <row r="37" spans="1:1" ht="15" customHeight="1">
      <c r="A37" s="38" t="s">
        <v>645</v>
      </c>
    </row>
    <row r="38" spans="1:1" ht="15" customHeight="1">
      <c r="A38" s="39" t="s">
        <v>647</v>
      </c>
    </row>
    <row r="39" spans="1:1" ht="15" customHeight="1" thickBot="1">
      <c r="A39" s="40"/>
    </row>
    <row r="40" spans="1:1" ht="15" customHeight="1">
      <c r="A40" s="34" t="s">
        <v>648</v>
      </c>
    </row>
    <row r="41" spans="1:1" ht="15" customHeight="1">
      <c r="A41" s="35" t="s">
        <v>649</v>
      </c>
    </row>
    <row r="42" spans="1:1" ht="15" customHeight="1">
      <c r="A42" s="31" t="s">
        <v>650</v>
      </c>
    </row>
    <row r="43" spans="1:1" ht="15" customHeight="1">
      <c r="A43" s="31" t="s">
        <v>651</v>
      </c>
    </row>
    <row r="44" spans="1:1" ht="15" customHeight="1" thickBot="1">
      <c r="A44" s="33"/>
    </row>
    <row r="45" spans="1:1" ht="15" customHeight="1">
      <c r="A45" s="36" t="s">
        <v>652</v>
      </c>
    </row>
    <row r="46" spans="1:1" ht="15" customHeight="1">
      <c r="A46" s="39" t="s">
        <v>653</v>
      </c>
    </row>
    <row r="47" spans="1:1" ht="15" customHeight="1">
      <c r="A47" s="38" t="s">
        <v>654</v>
      </c>
    </row>
    <row r="48" spans="1:1" ht="48" thickBot="1">
      <c r="A48" s="41" t="s">
        <v>655</v>
      </c>
    </row>
    <row r="49" spans="1:1" ht="15" customHeight="1">
      <c r="A49" s="34" t="s">
        <v>656</v>
      </c>
    </row>
    <row r="50" spans="1:1" ht="15" customHeight="1">
      <c r="A50" s="35" t="s">
        <v>540</v>
      </c>
    </row>
    <row r="51" spans="1:1" ht="15" customHeight="1">
      <c r="A51" s="57" t="s">
        <v>657</v>
      </c>
    </row>
    <row r="52" spans="1:1" ht="29.25" customHeight="1" thickBot="1">
      <c r="A52" s="58"/>
    </row>
  </sheetData>
  <mergeCells count="1">
    <mergeCell ref="A51:A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Detalle_repartos</vt:lpstr>
      <vt:lpstr>Resumen</vt:lpstr>
      <vt:lpstr>RespaldoOPV</vt:lpstr>
      <vt:lpstr>RespaldoLOTA</vt:lpstr>
      <vt:lpstr>RespaldoNovedades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De la Barra Beroiza</dc:creator>
  <cp:keywords/>
  <dc:description/>
  <cp:lastModifiedBy>Elias Correa</cp:lastModifiedBy>
  <cp:revision/>
  <dcterms:created xsi:type="dcterms:W3CDTF">2026-06-17T14:14:43Z</dcterms:created>
  <dcterms:modified xsi:type="dcterms:W3CDTF">2026-06-23T16:24:10Z</dcterms:modified>
  <cp:category/>
  <cp:contentStatus/>
</cp:coreProperties>
</file>